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filterPrivacy="1" codeName="ThisWorkbook"/>
  <bookViews>
    <workbookView xWindow="195" yWindow="180" windowWidth="20325" windowHeight="11400" activeTab="3"/>
  </bookViews>
  <sheets>
    <sheet name="Index" sheetId="1" r:id="rId1"/>
    <sheet name="1.Exponential" sheetId="2" r:id="rId2"/>
    <sheet name="2.Various" sheetId="3" r:id="rId3"/>
    <sheet name="3.Two-Dimensional" sheetId="4" r:id="rId4"/>
  </sheets>
  <functionGroups builtInGroupCount="18"/>
  <definedNames>
    <definedName name="D1_">'1.Exponential'!$D$4</definedName>
    <definedName name="D2_">'1.Exponential'!$D$5</definedName>
    <definedName name="t1_">'1.Exponential'!$C$6</definedName>
    <definedName name="t2_">'1.Exponential'!$C$7</definedName>
    <definedName name="Ta">#REF!</definedName>
    <definedName name="Tb">#REF!</definedName>
    <definedName name="Tc">#REF!</definedName>
    <definedName name="Td">#REF!</definedName>
    <definedName name="ti" localSheetId="1">'1.Exponential'!$C$8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62913"/>
</workbook>
</file>

<file path=xl/calcChain.xml><?xml version="1.0" encoding="utf-8"?>
<calcChain xmlns="http://schemas.openxmlformats.org/spreadsheetml/2006/main">
  <c r="D4" i="2" l="1"/>
  <c r="C9" i="2" s="1"/>
  <c r="D5" i="2"/>
  <c r="K14" i="3"/>
  <c r="V2" i="3" s="1"/>
  <c r="L14" i="3" s="1"/>
  <c r="K15" i="3"/>
  <c r="K50" i="3"/>
  <c r="L50" i="3"/>
  <c r="M50" i="3"/>
  <c r="N50" i="3" s="1"/>
  <c r="O50" i="3" s="1"/>
  <c r="AB5" i="4"/>
  <c r="AC5" i="4"/>
  <c r="AD5" i="4"/>
  <c r="AE5" i="4"/>
  <c r="AF5" i="4"/>
  <c r="AG5" i="4"/>
  <c r="AH5" i="4"/>
  <c r="AB6" i="4"/>
  <c r="Z7" i="4"/>
  <c r="AA7" i="4"/>
  <c r="AA6" i="4" s="1"/>
  <c r="AB7" i="4"/>
  <c r="E8" i="4"/>
  <c r="Z8" i="4"/>
  <c r="AB8" i="4"/>
  <c r="AA8" i="4" s="1"/>
  <c r="E9" i="4"/>
  <c r="AC8" i="4" s="1"/>
  <c r="F9" i="4"/>
  <c r="Z9" i="4"/>
  <c r="AA9" i="4"/>
  <c r="AB9" i="4"/>
  <c r="AC9" i="4"/>
  <c r="E10" i="4"/>
  <c r="F10" i="4" s="1"/>
  <c r="AD9" i="4" s="1"/>
  <c r="G10" i="4"/>
  <c r="Z10" i="4"/>
  <c r="AB10" i="4"/>
  <c r="AA10" i="4" s="1"/>
  <c r="C11" i="4"/>
  <c r="E11" i="4"/>
  <c r="AC10" i="4" s="1"/>
  <c r="Z11" i="4"/>
  <c r="AB11" i="4"/>
  <c r="AA11" i="4" s="1"/>
  <c r="AD11" i="4"/>
  <c r="E12" i="4"/>
  <c r="AC11" i="4" s="1"/>
  <c r="F12" i="4"/>
  <c r="G12" i="4" s="1"/>
  <c r="AE11" i="4" s="1"/>
  <c r="H12" i="4"/>
  <c r="M16" i="3"/>
  <c r="N17" i="3"/>
  <c r="O18" i="3"/>
  <c r="M20" i="3"/>
  <c r="N21" i="3"/>
  <c r="O22" i="3"/>
  <c r="M24" i="3"/>
  <c r="N25" i="3"/>
  <c r="O26" i="3"/>
  <c r="M28" i="3"/>
  <c r="N29" i="3"/>
  <c r="O30" i="3"/>
  <c r="M32" i="3"/>
  <c r="N33" i="3"/>
  <c r="O34" i="3"/>
  <c r="M36" i="3"/>
  <c r="N37" i="3"/>
  <c r="O38" i="3"/>
  <c r="N40" i="3"/>
  <c r="N42" i="3"/>
  <c r="N44" i="3"/>
  <c r="N46" i="3"/>
  <c r="N48" i="3"/>
  <c r="M14" i="3"/>
  <c r="P14" i="3" a="1"/>
  <c r="M15" i="3"/>
  <c r="N16" i="3"/>
  <c r="O17" i="3"/>
  <c r="M19" i="3"/>
  <c r="N20" i="3"/>
  <c r="O21" i="3"/>
  <c r="M23" i="3"/>
  <c r="N24" i="3"/>
  <c r="O25" i="3"/>
  <c r="M27" i="3"/>
  <c r="N28" i="3"/>
  <c r="O29" i="3"/>
  <c r="M31" i="3"/>
  <c r="N32" i="3"/>
  <c r="O33" i="3"/>
  <c r="M35" i="3"/>
  <c r="N36" i="3"/>
  <c r="O37" i="3"/>
  <c r="M39" i="3"/>
  <c r="O40" i="3"/>
  <c r="M41" i="3"/>
  <c r="O42" i="3"/>
  <c r="M43" i="3"/>
  <c r="O44" i="3"/>
  <c r="M45" i="3"/>
  <c r="O46" i="3"/>
  <c r="M47" i="3"/>
  <c r="O48" i="3"/>
  <c r="M49" i="3"/>
  <c r="N14" i="3"/>
  <c r="N15" i="3"/>
  <c r="O16" i="3"/>
  <c r="M18" i="3"/>
  <c r="N19" i="3"/>
  <c r="O20" i="3"/>
  <c r="M22" i="3"/>
  <c r="N23" i="3"/>
  <c r="O24" i="3"/>
  <c r="M26" i="3"/>
  <c r="N27" i="3"/>
  <c r="O28" i="3"/>
  <c r="M30" i="3"/>
  <c r="N31" i="3"/>
  <c r="O32" i="3"/>
  <c r="M34" i="3"/>
  <c r="N35" i="3"/>
  <c r="O36" i="3"/>
  <c r="M38" i="3"/>
  <c r="N39" i="3"/>
  <c r="N41" i="3"/>
  <c r="N43" i="3"/>
  <c r="N45" i="3"/>
  <c r="N47" i="3"/>
  <c r="N49" i="3"/>
  <c r="C18" i="4"/>
  <c r="O14" i="3"/>
  <c r="O15" i="3"/>
  <c r="M17" i="3"/>
  <c r="N18" i="3"/>
  <c r="O19" i="3"/>
  <c r="M25" i="3"/>
  <c r="O27" i="3"/>
  <c r="N34" i="3"/>
  <c r="O41" i="3"/>
  <c r="M44" i="3"/>
  <c r="O49" i="3"/>
  <c r="M21" i="3"/>
  <c r="O23" i="3"/>
  <c r="N30" i="3"/>
  <c r="M37" i="3"/>
  <c r="O39" i="3"/>
  <c r="M42" i="3"/>
  <c r="O47" i="3"/>
  <c r="N22" i="3"/>
  <c r="M29" i="3"/>
  <c r="O31" i="3"/>
  <c r="N38" i="3"/>
  <c r="O43" i="3"/>
  <c r="M46" i="3"/>
  <c r="N26" i="3"/>
  <c r="M33" i="3"/>
  <c r="O35" i="3"/>
  <c r="M40" i="3"/>
  <c r="O45" i="3"/>
  <c r="M48" i="3"/>
  <c r="P14" i="3" l="1"/>
  <c r="P15" i="3"/>
  <c r="P19" i="3"/>
  <c r="P23" i="3"/>
  <c r="P27" i="3"/>
  <c r="P31" i="3"/>
  <c r="P35" i="3"/>
  <c r="P39" i="3"/>
  <c r="P41" i="3"/>
  <c r="P43" i="3"/>
  <c r="P45" i="3"/>
  <c r="P47" i="3"/>
  <c r="P49" i="3"/>
  <c r="P18" i="3"/>
  <c r="P22" i="3"/>
  <c r="P26" i="3"/>
  <c r="P30" i="3"/>
  <c r="P34" i="3"/>
  <c r="P38" i="3"/>
  <c r="P20" i="3"/>
  <c r="P17" i="3"/>
  <c r="P21" i="3"/>
  <c r="P25" i="3"/>
  <c r="P29" i="3"/>
  <c r="P33" i="3"/>
  <c r="P37" i="3"/>
  <c r="P40" i="3"/>
  <c r="P42" i="3"/>
  <c r="P44" i="3"/>
  <c r="P46" i="3"/>
  <c r="P48" i="3"/>
  <c r="P50" i="3"/>
  <c r="P16" i="3"/>
  <c r="P36" i="3"/>
  <c r="P32" i="3"/>
  <c r="P24" i="3"/>
  <c r="P28" i="3"/>
  <c r="H10" i="4"/>
  <c r="AE9" i="4"/>
  <c r="G9" i="4"/>
  <c r="AD8" i="4"/>
  <c r="I12" i="4"/>
  <c r="AF11" i="4"/>
  <c r="F8" i="4"/>
  <c r="AC7" i="4"/>
  <c r="AC6" i="4" s="1"/>
  <c r="V3" i="3"/>
  <c r="L15" i="3" s="1"/>
  <c r="F11" i="4"/>
  <c r="K16" i="3"/>
  <c r="G8" i="4" l="1"/>
  <c r="AD7" i="4"/>
  <c r="AD6" i="4" s="1"/>
  <c r="J12" i="4"/>
  <c r="AG11" i="4"/>
  <c r="AH11" i="4" s="1"/>
  <c r="I10" i="4"/>
  <c r="AF9" i="4"/>
  <c r="AD10" i="4"/>
  <c r="G11" i="4"/>
  <c r="H9" i="4"/>
  <c r="AE8" i="4"/>
  <c r="V4" i="3"/>
  <c r="L16" i="3" s="1"/>
  <c r="K17" i="3"/>
  <c r="I9" i="4" l="1"/>
  <c r="AF8" i="4"/>
  <c r="J10" i="4"/>
  <c r="AG9" i="4"/>
  <c r="AH9" i="4" s="1"/>
  <c r="K18" i="3"/>
  <c r="V5" i="3"/>
  <c r="AE10" i="4"/>
  <c r="H11" i="4"/>
  <c r="H8" i="4"/>
  <c r="AE7" i="4"/>
  <c r="AE6" i="4" s="1"/>
  <c r="AF10" i="4" l="1"/>
  <c r="I11" i="4"/>
  <c r="L17" i="3"/>
  <c r="AF7" i="4"/>
  <c r="AF6" i="4" s="1"/>
  <c r="I8" i="4"/>
  <c r="V6" i="3"/>
  <c r="L18" i="3" s="1"/>
  <c r="K19" i="3"/>
  <c r="AG8" i="4"/>
  <c r="AH8" i="4" s="1"/>
  <c r="J9" i="4"/>
  <c r="V7" i="3" l="1"/>
  <c r="K20" i="3"/>
  <c r="AG10" i="4"/>
  <c r="AH10" i="4" s="1"/>
  <c r="J11" i="4"/>
  <c r="J8" i="4"/>
  <c r="AG7" i="4"/>
  <c r="AG6" i="4" l="1"/>
  <c r="AH6" i="4" s="1"/>
  <c r="AH7" i="4"/>
  <c r="V8" i="3"/>
  <c r="L20" i="3" s="1"/>
  <c r="K21" i="3"/>
  <c r="L19" i="3"/>
  <c r="K22" i="3" l="1"/>
  <c r="V9" i="3"/>
  <c r="L21" i="3" s="1"/>
  <c r="K23" i="3" l="1"/>
  <c r="V10" i="3"/>
  <c r="L22" i="3" s="1"/>
  <c r="V11" i="3" l="1"/>
  <c r="L23" i="3" s="1"/>
  <c r="K24" i="3"/>
  <c r="V12" i="3" l="1"/>
  <c r="L24" i="3" s="1"/>
  <c r="K25" i="3"/>
  <c r="K26" i="3" l="1"/>
  <c r="V13" i="3"/>
  <c r="L25" i="3" s="1"/>
  <c r="V14" i="3" l="1"/>
  <c r="L26" i="3" s="1"/>
  <c r="K27" i="3"/>
  <c r="V15" i="3" l="1"/>
  <c r="L27" i="3" s="1"/>
  <c r="K28" i="3"/>
  <c r="V16" i="3" l="1"/>
  <c r="L28" i="3" s="1"/>
  <c r="K29" i="3"/>
  <c r="K30" i="3" l="1"/>
  <c r="V17" i="3"/>
  <c r="L29" i="3" s="1"/>
  <c r="V18" i="3" l="1"/>
  <c r="L30" i="3" s="1"/>
  <c r="K31" i="3"/>
  <c r="V19" i="3" l="1"/>
  <c r="L31" i="3" s="1"/>
  <c r="K32" i="3"/>
  <c r="V20" i="3" l="1"/>
  <c r="L32" i="3" s="1"/>
  <c r="K33" i="3"/>
  <c r="K34" i="3" l="1"/>
  <c r="V21" i="3"/>
  <c r="L33" i="3" s="1"/>
  <c r="V22" i="3" l="1"/>
  <c r="L34" i="3" s="1"/>
  <c r="K35" i="3"/>
  <c r="V23" i="3" l="1"/>
  <c r="L35" i="3" s="1"/>
  <c r="K36" i="3"/>
  <c r="V24" i="3" l="1"/>
  <c r="L36" i="3" s="1"/>
  <c r="K37" i="3"/>
  <c r="K38" i="3" l="1"/>
  <c r="V25" i="3"/>
  <c r="L37" i="3" s="1"/>
  <c r="V26" i="3" l="1"/>
  <c r="L38" i="3" s="1"/>
  <c r="K39" i="3"/>
  <c r="V27" i="3" l="1"/>
  <c r="L39" i="3" s="1"/>
  <c r="K40" i="3"/>
  <c r="V28" i="3" l="1"/>
  <c r="L40" i="3" s="1"/>
  <c r="K41" i="3"/>
  <c r="K42" i="3" l="1"/>
  <c r="V29" i="3"/>
  <c r="L41" i="3" s="1"/>
  <c r="V30" i="3" l="1"/>
  <c r="L42" i="3" s="1"/>
  <c r="K43" i="3"/>
  <c r="V31" i="3" l="1"/>
  <c r="L43" i="3" s="1"/>
  <c r="K44" i="3"/>
  <c r="V32" i="3" l="1"/>
  <c r="L44" i="3" s="1"/>
  <c r="K45" i="3"/>
  <c r="K46" i="3" l="1"/>
  <c r="V33" i="3"/>
  <c r="L45" i="3" s="1"/>
  <c r="V34" i="3" l="1"/>
  <c r="L46" i="3" s="1"/>
  <c r="K47" i="3"/>
  <c r="V35" i="3" l="1"/>
  <c r="L47" i="3" s="1"/>
  <c r="K48" i="3"/>
  <c r="V36" i="3" l="1"/>
  <c r="L48" i="3" s="1"/>
  <c r="K49" i="3"/>
  <c r="V37" i="3" s="1"/>
  <c r="L49" i="3" l="1"/>
  <c r="V38" i="3"/>
</calcChain>
</file>

<file path=xl/sharedStrings.xml><?xml version="1.0" encoding="utf-8"?>
<sst xmlns="http://schemas.openxmlformats.org/spreadsheetml/2006/main" count="35" uniqueCount="31">
  <si>
    <t>Maturity</t>
  </si>
  <si>
    <t>in days</t>
  </si>
  <si>
    <t>Input Matrix</t>
  </si>
  <si>
    <t xml:space="preserve">Maturity days : </t>
  </si>
  <si>
    <t xml:space="preserve">Strike : </t>
  </si>
  <si>
    <t>2-Dimensional Linear Interpolation</t>
  </si>
  <si>
    <t xml:space="preserve">Interpolated Volatility : </t>
  </si>
  <si>
    <t>Contents/Spreadsheet index</t>
  </si>
  <si>
    <t>Sheet #</t>
  </si>
  <si>
    <t>Cubic Spline</t>
  </si>
  <si>
    <t>intepolation</t>
  </si>
  <si>
    <t>interpolation</t>
  </si>
  <si>
    <t>Observations</t>
  </si>
  <si>
    <t>Cubic</t>
  </si>
  <si>
    <t>Log-Linear</t>
  </si>
  <si>
    <t>Linear</t>
  </si>
  <si>
    <t>Rates</t>
  </si>
  <si>
    <t>Various Interpolation Methods</t>
  </si>
  <si>
    <t>2-Dimensional Interpolation</t>
  </si>
  <si>
    <t>t1</t>
  </si>
  <si>
    <t>t2</t>
  </si>
  <si>
    <t>ti</t>
  </si>
  <si>
    <t xml:space="preserve">Di : </t>
  </si>
  <si>
    <t>Exponential Interpolation Discount Factors</t>
  </si>
  <si>
    <t>Exponential Interpolation</t>
  </si>
  <si>
    <t>Various Interpolation (Linear, Log-Linear, Cubic and Cubic Spline)</t>
  </si>
  <si>
    <t>Zero 1</t>
  </si>
  <si>
    <t>Discount factor 1</t>
  </si>
  <si>
    <t>Discount factor 2</t>
  </si>
  <si>
    <t>Useful Formulas</t>
  </si>
  <si>
    <t>Strike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</si>
</sst>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3" formatCode="_(* #,##0.00_);_(* \(#,##0.00\);_(* &quot;-&quot;??_);_(@_)"/>
    <numFmt numFmtId="165" formatCode="0.0%"/>
    <numFmt numFmtId="166" formatCode="0.0000"/>
    <numFmt numFmtId="167" formatCode="0.000"/>
    <numFmt numFmtId="168" formatCode="0.0"/>
    <numFmt numFmtId="177" formatCode="_-* #,##0&quot; kr&quot;_-;\-* #,##0&quot; kr&quot;_-;_-* &quot;-&quot;&quot; kr&quot;_-;_-@_-"/>
    <numFmt numFmtId="178" formatCode="_-* #,##0_ _k_r_-;\-* #,##0_ _k_r_-;_-* &quot;-&quot;_ _k_r_-;_-@_-"/>
    <numFmt numFmtId="179" formatCode="_-* #,##0.00&quot; kr&quot;_-;\-* #,##0.00&quot; kr&quot;_-;_-* &quot;-&quot;??&quot; kr&quot;_-;_-@_-"/>
    <numFmt numFmtId="180" formatCode="_-* #,##0.00_ _k_r_-;\-* #,##0.00_ _k_r_-;_-* &quot;-&quot;??_ _k_r_-;_-@_-"/>
    <numFmt numFmtId="207" formatCode="_ &quot;kr&quot;\ * #,##0_ ;_ &quot;kr&quot;\ * \-#,##0_ ;_ &quot;kr&quot;\ * &quot;-&quot;_ ;_ @_ "/>
    <numFmt numFmtId="208" formatCode="_ * #,##0_ ;_ * \-#,##0_ ;_ * &quot;-&quot;_ ;_ @_ "/>
    <numFmt numFmtId="209" formatCode="_ &quot;kr&quot;\ * #,##0.00_ ;_ &quot;kr&quot;\ * \-#,##0.00_ ;_ &quot;kr&quot;\ * &quot;-&quot;??_ ;_ @_ "/>
    <numFmt numFmtId="210" formatCode="_ * #,##0.00_ ;_ * \-#,##0.00_ ;_ * &quot;-&quot;??_ ;_ @_ "/>
    <numFmt numFmtId="212" formatCode="_(* #,##0.0000_);_(* \(#,##0.0000\);_(* &quot;-&quot;??_);_(@_)"/>
    <numFmt numFmtId="217" formatCode="_(* #,##0_);_(* \(#,##0\);_(* &quot;-&quot;??_);_(@_)"/>
  </numFmts>
  <fonts count="30">
    <font>
      <sz val="9"/>
      <name val="Geneva"/>
    </font>
    <font>
      <b/>
      <sz val="9"/>
      <name val="Geneva"/>
    </font>
    <font>
      <sz val="9"/>
      <name val="Geneva"/>
    </font>
    <font>
      <sz val="9"/>
      <color indexed="8"/>
      <name val="Geneva"/>
    </font>
    <font>
      <b/>
      <sz val="9"/>
      <color indexed="12"/>
      <name val="Geneva"/>
    </font>
    <font>
      <b/>
      <sz val="10"/>
      <color indexed="37"/>
      <name val="Arial"/>
      <family val="2"/>
    </font>
    <font>
      <u/>
      <sz val="9"/>
      <color indexed="12"/>
      <name val="Geneva"/>
    </font>
    <font>
      <u/>
      <sz val="9"/>
      <color indexed="61"/>
      <name val="Geneva"/>
    </font>
    <font>
      <b/>
      <sz val="14"/>
      <name val="Arial"/>
    </font>
    <font>
      <sz val="8"/>
      <name val="Verdana"/>
    </font>
    <font>
      <sz val="10"/>
      <name val="Arial"/>
    </font>
    <font>
      <sz val="10"/>
      <name val="Geneva"/>
    </font>
    <font>
      <u/>
      <sz val="10"/>
      <color indexed="61"/>
      <name val="Arial"/>
    </font>
    <font>
      <u/>
      <sz val="10"/>
      <color indexed="12"/>
      <name val="Arial"/>
    </font>
    <font>
      <b/>
      <sz val="24"/>
      <color indexed="56"/>
      <name val="Geneva"/>
    </font>
    <font>
      <b/>
      <sz val="18"/>
      <color indexed="17"/>
      <name val="Geneva"/>
    </font>
    <font>
      <sz val="10"/>
      <color indexed="8"/>
      <name val="Geneva"/>
    </font>
    <font>
      <b/>
      <sz val="9"/>
      <color indexed="58"/>
      <name val="Geneva"/>
    </font>
    <font>
      <b/>
      <sz val="10"/>
      <name val="Geneva"/>
    </font>
    <font>
      <sz val="10"/>
      <color indexed="61"/>
      <name val="Geneva"/>
    </font>
    <font>
      <b/>
      <sz val="10"/>
      <color indexed="18"/>
      <name val="Geneva"/>
    </font>
    <font>
      <u/>
      <sz val="10"/>
      <color indexed="61"/>
      <name val="Geneva"/>
    </font>
    <font>
      <u/>
      <sz val="10"/>
      <color indexed="12"/>
      <name val="Geneva"/>
    </font>
    <font>
      <b/>
      <sz val="12"/>
      <name val="Geneva"/>
    </font>
    <font>
      <sz val="10"/>
      <name val="Verdana"/>
    </font>
    <font>
      <u/>
      <sz val="10"/>
      <color indexed="61"/>
      <name val="Verdana"/>
    </font>
    <font>
      <u/>
      <sz val="10"/>
      <color indexed="12"/>
      <name val="Verdana"/>
    </font>
    <font>
      <b/>
      <sz val="10"/>
      <name val="Verdana"/>
    </font>
    <font>
      <b/>
      <sz val="10"/>
      <color indexed="12"/>
      <name val="Verdana"/>
    </font>
    <font>
      <b/>
      <sz val="10"/>
      <color indexed="10"/>
      <name val="Geneva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0" fontId="24" fillId="0" borderId="0"/>
    <xf numFmtId="0" fontId="2" fillId="0" borderId="0"/>
    <xf numFmtId="0" fontId="10" fillId="0" borderId="0"/>
    <xf numFmtId="9" fontId="2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0" xfId="0" applyFont="1" applyAlignment="1" applyProtection="1">
      <alignment horizontal="right"/>
      <protection locked="0"/>
    </xf>
    <xf numFmtId="10" fontId="0" fillId="0" borderId="0" xfId="0" applyNumberFormat="1" applyProtection="1">
      <protection locked="0"/>
    </xf>
    <xf numFmtId="10" fontId="0" fillId="0" borderId="0" xfId="5" applyNumberFormat="1" applyFont="1" applyProtection="1">
      <protection locked="0"/>
    </xf>
    <xf numFmtId="2" fontId="0" fillId="0" borderId="0" xfId="0" applyNumberFormat="1" applyProtection="1">
      <protection locked="0"/>
    </xf>
    <xf numFmtId="165" fontId="0" fillId="0" borderId="0" xfId="5" applyNumberFormat="1" applyFont="1" applyProtection="1">
      <protection locked="0"/>
    </xf>
    <xf numFmtId="165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Continuous"/>
      <protection hidden="1"/>
    </xf>
    <xf numFmtId="0" fontId="3" fillId="0" borderId="0" xfId="0" applyFont="1" applyProtection="1">
      <protection locked="0"/>
    </xf>
    <xf numFmtId="165" fontId="3" fillId="0" borderId="0" xfId="5" applyNumberFormat="1" applyFont="1" applyProtection="1">
      <protection locked="0"/>
    </xf>
    <xf numFmtId="0" fontId="2" fillId="0" borderId="0" xfId="0" applyFont="1" applyProtection="1">
      <protection locked="0"/>
    </xf>
    <xf numFmtId="165" fontId="2" fillId="0" borderId="0" xfId="5" applyNumberFormat="1" applyFont="1" applyProtection="1">
      <protection locked="0"/>
    </xf>
    <xf numFmtId="0" fontId="2" fillId="0" borderId="0" xfId="0" applyFont="1" applyProtection="1">
      <protection hidden="1"/>
    </xf>
    <xf numFmtId="10" fontId="2" fillId="0" borderId="0" xfId="0" applyNumberFormat="1" applyFont="1" applyProtection="1">
      <protection hidden="1"/>
    </xf>
    <xf numFmtId="167" fontId="2" fillId="0" borderId="0" xfId="0" applyNumberFormat="1" applyFont="1" applyProtection="1">
      <protection hidden="1"/>
    </xf>
    <xf numFmtId="168" fontId="2" fillId="0" borderId="0" xfId="0" applyNumberFormat="1" applyFont="1" applyProtection="1">
      <protection hidden="1"/>
    </xf>
    <xf numFmtId="1" fontId="2" fillId="0" borderId="0" xfId="0" applyNumberFormat="1" applyFont="1" applyProtection="1">
      <protection hidden="1"/>
    </xf>
    <xf numFmtId="2" fontId="2" fillId="0" borderId="0" xfId="0" applyNumberFormat="1" applyFont="1" applyProtection="1">
      <protection hidden="1"/>
    </xf>
    <xf numFmtId="10" fontId="2" fillId="0" borderId="0" xfId="5" applyNumberFormat="1" applyFont="1" applyProtection="1">
      <protection hidden="1"/>
    </xf>
    <xf numFmtId="10" fontId="4" fillId="0" borderId="1" xfId="0" applyNumberFormat="1" applyFont="1" applyBorder="1" applyAlignment="1" applyProtection="1">
      <alignment horizontal="center"/>
      <protection hidden="1"/>
    </xf>
    <xf numFmtId="10" fontId="4" fillId="0" borderId="2" xfId="0" applyNumberFormat="1" applyFont="1" applyBorder="1" applyAlignment="1" applyProtection="1">
      <alignment horizontal="center"/>
      <protection hidden="1"/>
    </xf>
    <xf numFmtId="10" fontId="4" fillId="0" borderId="3" xfId="0" applyNumberFormat="1" applyFont="1" applyBorder="1" applyAlignment="1" applyProtection="1">
      <alignment horizontal="center"/>
      <protection hidden="1"/>
    </xf>
    <xf numFmtId="10" fontId="4" fillId="0" borderId="4" xfId="0" applyNumberFormat="1" applyFont="1" applyBorder="1" applyAlignment="1" applyProtection="1">
      <alignment horizontal="center"/>
      <protection hidden="1"/>
    </xf>
    <xf numFmtId="10" fontId="4" fillId="0" borderId="0" xfId="0" applyNumberFormat="1" applyFont="1" applyBorder="1" applyAlignment="1" applyProtection="1">
      <alignment horizontal="center"/>
      <protection hidden="1"/>
    </xf>
    <xf numFmtId="10" fontId="4" fillId="0" borderId="5" xfId="0" applyNumberFormat="1" applyFont="1" applyBorder="1" applyAlignment="1" applyProtection="1">
      <alignment horizontal="center"/>
      <protection hidden="1"/>
    </xf>
    <xf numFmtId="10" fontId="4" fillId="0" borderId="6" xfId="0" applyNumberFormat="1" applyFont="1" applyBorder="1" applyAlignment="1" applyProtection="1">
      <alignment horizontal="center"/>
      <protection hidden="1"/>
    </xf>
    <xf numFmtId="10" fontId="4" fillId="0" borderId="7" xfId="0" applyNumberFormat="1" applyFont="1" applyBorder="1" applyAlignment="1" applyProtection="1">
      <alignment horizontal="center"/>
      <protection hidden="1"/>
    </xf>
    <xf numFmtId="10" fontId="4" fillId="0" borderId="8" xfId="0" applyNumberFormat="1" applyFont="1" applyBorder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1" fontId="4" fillId="0" borderId="0" xfId="0" applyNumberFormat="1" applyFont="1" applyBorder="1" applyAlignment="1" applyProtection="1">
      <alignment horizontal="center"/>
      <protection hidden="1"/>
    </xf>
    <xf numFmtId="165" fontId="4" fillId="0" borderId="2" xfId="0" applyNumberFormat="1" applyFont="1" applyBorder="1" applyAlignment="1" applyProtection="1">
      <alignment horizontal="center"/>
      <protection hidden="1"/>
    </xf>
    <xf numFmtId="165" fontId="4" fillId="0" borderId="0" xfId="0" applyNumberFormat="1" applyFont="1" applyBorder="1" applyAlignment="1" applyProtection="1">
      <alignment horizontal="center"/>
      <protection hidden="1"/>
    </xf>
    <xf numFmtId="165" fontId="4" fillId="0" borderId="7" xfId="0" applyNumberFormat="1" applyFont="1" applyBorder="1" applyAlignment="1" applyProtection="1">
      <alignment horizontal="center"/>
      <protection hidden="1"/>
    </xf>
    <xf numFmtId="43" fontId="4" fillId="0" borderId="0" xfId="1" applyFont="1" applyProtection="1">
      <protection locked="0"/>
    </xf>
    <xf numFmtId="10" fontId="0" fillId="0" borderId="0" xfId="0" applyNumberFormat="1" applyAlignment="1" applyProtection="1">
      <alignment horizontal="right"/>
      <protection locked="0"/>
    </xf>
    <xf numFmtId="0" fontId="1" fillId="0" borderId="0" xfId="0" applyFont="1" applyAlignment="1" applyProtection="1">
      <alignment horizontal="centerContinuous"/>
      <protection hidden="1"/>
    </xf>
    <xf numFmtId="10" fontId="1" fillId="0" borderId="0" xfId="0" applyNumberFormat="1" applyFont="1" applyAlignment="1" applyProtection="1">
      <alignment horizontal="right"/>
      <protection locked="0"/>
    </xf>
    <xf numFmtId="0" fontId="8" fillId="0" borderId="0" xfId="0" applyFont="1"/>
    <xf numFmtId="10" fontId="5" fillId="2" borderId="9" xfId="5" applyNumberFormat="1" applyFont="1" applyFill="1" applyBorder="1"/>
    <xf numFmtId="0" fontId="14" fillId="0" borderId="0" xfId="3" applyFont="1" applyAlignment="1">
      <alignment horizontal="left"/>
    </xf>
    <xf numFmtId="0" fontId="2" fillId="0" borderId="0" xfId="3"/>
    <xf numFmtId="0" fontId="15" fillId="0" borderId="0" xfId="3" applyFont="1" applyAlignment="1">
      <alignment horizontal="left"/>
    </xf>
    <xf numFmtId="0" fontId="2" fillId="0" borderId="0" xfId="3" applyFont="1"/>
    <xf numFmtId="0" fontId="16" fillId="0" borderId="0" xfId="3" applyFont="1" applyAlignment="1">
      <alignment horizontal="left"/>
    </xf>
    <xf numFmtId="0" fontId="2" fillId="0" borderId="0" xfId="3" applyAlignment="1">
      <alignment horizontal="center"/>
    </xf>
    <xf numFmtId="0" fontId="17" fillId="0" borderId="0" xfId="3" applyFont="1"/>
    <xf numFmtId="0" fontId="16" fillId="0" borderId="0" xfId="3" applyFont="1" applyAlignment="1">
      <alignment horizontal="center"/>
    </xf>
    <xf numFmtId="0" fontId="16" fillId="0" borderId="0" xfId="3" applyFont="1"/>
    <xf numFmtId="0" fontId="10" fillId="0" borderId="0" xfId="4"/>
    <xf numFmtId="217" fontId="10" fillId="0" borderId="0" xfId="1" applyNumberFormat="1" applyFont="1"/>
    <xf numFmtId="217" fontId="2" fillId="0" borderId="0" xfId="1" applyNumberFormat="1"/>
    <xf numFmtId="0" fontId="11" fillId="0" borderId="0" xfId="0" applyFont="1" applyProtection="1">
      <protection locked="0"/>
    </xf>
    <xf numFmtId="10" fontId="11" fillId="0" borderId="8" xfId="5" applyNumberFormat="1" applyFont="1" applyBorder="1" applyAlignment="1" applyProtection="1">
      <alignment horizontal="center"/>
      <protection hidden="1"/>
    </xf>
    <xf numFmtId="10" fontId="11" fillId="0" borderId="7" xfId="5" applyNumberFormat="1" applyFont="1" applyBorder="1" applyAlignment="1" applyProtection="1">
      <alignment horizontal="center"/>
      <protection hidden="1"/>
    </xf>
    <xf numFmtId="10" fontId="11" fillId="0" borderId="6" xfId="5" applyNumberFormat="1" applyFont="1" applyBorder="1" applyProtection="1">
      <protection hidden="1"/>
    </xf>
    <xf numFmtId="168" fontId="18" fillId="0" borderId="6" xfId="0" applyNumberFormat="1" applyFont="1" applyBorder="1" applyAlignment="1" applyProtection="1">
      <alignment horizontal="center"/>
      <protection hidden="1"/>
    </xf>
    <xf numFmtId="10" fontId="11" fillId="0" borderId="5" xfId="5" applyNumberFormat="1" applyFont="1" applyBorder="1" applyAlignment="1" applyProtection="1">
      <alignment horizontal="center"/>
      <protection hidden="1"/>
    </xf>
    <xf numFmtId="10" fontId="11" fillId="0" borderId="0" xfId="5" applyNumberFormat="1" applyFont="1" applyBorder="1" applyAlignment="1" applyProtection="1">
      <alignment horizontal="center"/>
      <protection hidden="1"/>
    </xf>
    <xf numFmtId="10" fontId="11" fillId="0" borderId="4" xfId="5" applyNumberFormat="1" applyFont="1" applyBorder="1" applyProtection="1">
      <protection hidden="1"/>
    </xf>
    <xf numFmtId="168" fontId="18" fillId="0" borderId="4" xfId="0" applyNumberFormat="1" applyFont="1" applyBorder="1" applyAlignment="1" applyProtection="1">
      <alignment horizontal="center"/>
      <protection hidden="1"/>
    </xf>
    <xf numFmtId="2" fontId="18" fillId="0" borderId="0" xfId="0" applyNumberFormat="1" applyFont="1" applyProtection="1">
      <protection hidden="1"/>
    </xf>
    <xf numFmtId="10" fontId="11" fillId="0" borderId="3" xfId="5" applyNumberFormat="1" applyFont="1" applyBorder="1" applyAlignment="1" applyProtection="1">
      <alignment horizontal="center"/>
      <protection hidden="1"/>
    </xf>
    <xf numFmtId="10" fontId="11" fillId="0" borderId="2" xfId="5" applyNumberFormat="1" applyFont="1" applyBorder="1" applyAlignment="1" applyProtection="1">
      <alignment horizontal="center"/>
      <protection hidden="1"/>
    </xf>
    <xf numFmtId="10" fontId="11" fillId="0" borderId="1" xfId="5" applyNumberFormat="1" applyFont="1" applyBorder="1" applyProtection="1">
      <protection hidden="1"/>
    </xf>
    <xf numFmtId="168" fontId="18" fillId="0" borderId="1" xfId="0" applyNumberFormat="1" applyFont="1" applyBorder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0" fontId="20" fillId="0" borderId="8" xfId="5" applyNumberFormat="1" applyFont="1" applyFill="1" applyBorder="1" applyAlignment="1" applyProtection="1">
      <alignment horizontal="center"/>
      <protection locked="0"/>
    </xf>
    <xf numFmtId="0" fontId="20" fillId="0" borderId="6" xfId="0" applyFont="1" applyFill="1" applyBorder="1" applyAlignment="1" applyProtection="1">
      <alignment horizontal="center"/>
      <protection locked="0"/>
    </xf>
    <xf numFmtId="167" fontId="0" fillId="0" borderId="0" xfId="0" applyNumberFormat="1" applyProtection="1">
      <protection locked="0"/>
    </xf>
    <xf numFmtId="10" fontId="20" fillId="0" borderId="5" xfId="5" applyNumberFormat="1" applyFont="1" applyFill="1" applyBorder="1" applyAlignment="1" applyProtection="1">
      <alignment horizontal="center"/>
      <protection locked="0"/>
    </xf>
    <xf numFmtId="0" fontId="20" fillId="0" borderId="4" xfId="0" applyFont="1" applyFill="1" applyBorder="1" applyAlignment="1" applyProtection="1">
      <alignment horizontal="center"/>
      <protection locked="0"/>
    </xf>
    <xf numFmtId="10" fontId="20" fillId="0" borderId="3" xfId="5" applyNumberFormat="1" applyFont="1" applyFill="1" applyBorder="1" applyAlignment="1" applyProtection="1">
      <alignment horizontal="center"/>
      <protection locked="0"/>
    </xf>
    <xf numFmtId="1" fontId="20" fillId="0" borderId="1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 applyProtection="1">
      <protection locked="0"/>
    </xf>
    <xf numFmtId="0" fontId="18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Protection="1">
      <protection locked="0"/>
    </xf>
    <xf numFmtId="0" fontId="11" fillId="0" borderId="0" xfId="0" applyFont="1" applyProtection="1">
      <protection hidden="1"/>
    </xf>
    <xf numFmtId="9" fontId="0" fillId="0" borderId="0" xfId="0" applyNumberFormat="1" applyProtection="1">
      <protection locked="0"/>
    </xf>
    <xf numFmtId="0" fontId="24" fillId="0" borderId="0" xfId="2"/>
    <xf numFmtId="0" fontId="27" fillId="0" borderId="10" xfId="2" applyFont="1" applyBorder="1" applyAlignment="1">
      <alignment horizontal="right"/>
    </xf>
    <xf numFmtId="0" fontId="27" fillId="0" borderId="11" xfId="2" applyFont="1" applyBorder="1" applyAlignment="1">
      <alignment horizontal="right"/>
    </xf>
    <xf numFmtId="2" fontId="28" fillId="0" borderId="12" xfId="2" applyNumberFormat="1" applyFont="1" applyBorder="1"/>
    <xf numFmtId="0" fontId="27" fillId="0" borderId="13" xfId="2" applyFont="1" applyBorder="1" applyAlignment="1">
      <alignment horizontal="right"/>
    </xf>
    <xf numFmtId="2" fontId="28" fillId="0" borderId="14" xfId="2" applyNumberFormat="1" applyFont="1" applyBorder="1"/>
    <xf numFmtId="0" fontId="18" fillId="2" borderId="13" xfId="2" applyFont="1" applyFill="1" applyBorder="1" applyAlignment="1">
      <alignment horizontal="right"/>
    </xf>
    <xf numFmtId="212" fontId="29" fillId="2" borderId="14" xfId="1" applyNumberFormat="1" applyFont="1" applyFill="1" applyBorder="1"/>
    <xf numFmtId="10" fontId="28" fillId="0" borderId="15" xfId="5" applyNumberFormat="1" applyFont="1" applyBorder="1"/>
    <xf numFmtId="166" fontId="28" fillId="2" borderId="15" xfId="2" applyNumberFormat="1" applyFont="1" applyFill="1" applyBorder="1"/>
    <xf numFmtId="10" fontId="28" fillId="0" borderId="12" xfId="5" applyNumberFormat="1" applyFont="1" applyBorder="1"/>
    <xf numFmtId="0" fontId="24" fillId="0" borderId="0" xfId="2" applyFont="1"/>
    <xf numFmtId="166" fontId="28" fillId="2" borderId="14" xfId="2" applyNumberFormat="1" applyFont="1" applyFill="1" applyBorder="1"/>
    <xf numFmtId="0" fontId="23" fillId="0" borderId="0" xfId="0" applyFont="1" applyProtection="1">
      <protection locked="0"/>
    </xf>
  </cellXfs>
  <cellStyles count="6">
    <cellStyle name="Comma" xfId="1" builtinId="3"/>
    <cellStyle name="Normal" xfId="0" builtinId="0"/>
    <cellStyle name="Normal_ExponentialInterplolation.xls" xfId="2"/>
    <cellStyle name="Normal_PlainVanilla.xls" xfId="3"/>
    <cellStyle name="Normal_VolatiltyCorrelation.xls" xfId="4"/>
    <cellStyle name="Percent" xfId="5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r>
              <a:rPr lang="en-US"/>
              <a:t>Curve fitting</a:t>
            </a:r>
          </a:p>
        </c:rich>
      </c:tx>
      <c:layout>
        <c:manualLayout>
          <c:xMode val="edge"/>
          <c:yMode val="edge"/>
          <c:x val="0.42941678397278049"/>
          <c:y val="2.99410742213190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56501151619677"/>
          <c:y val="0.17166215886889599"/>
          <c:w val="0.81516406449070189"/>
          <c:h val="0.6626957760985287"/>
        </c:manualLayout>
      </c:layout>
      <c:lineChart>
        <c:grouping val="standard"/>
        <c:varyColors val="0"/>
        <c:ser>
          <c:idx val="0"/>
          <c:order val="0"/>
          <c:tx>
            <c:v>Observations</c:v>
          </c:tx>
          <c:spPr>
            <a:ln w="19050">
              <a:noFill/>
            </a:ln>
          </c:spPr>
          <c:marker>
            <c:symbol val="diamond"/>
            <c:size val="6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dPt>
            <c:idx val="16"/>
            <c:bubble3D val="0"/>
            <c:spPr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1-B26A-4325-B55A-BFE65543C380}"/>
              </c:ext>
            </c:extLst>
          </c:dPt>
          <c:cat>
            <c:numRef>
              <c:f>'2.Various'!$K$14:$K$50</c:f>
              <c:numCache>
                <c:formatCode>0.0</c:formatCode>
                <c:ptCount val="3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</c:numCache>
            </c:numRef>
          </c:cat>
          <c:val>
            <c:numRef>
              <c:f>'2.Various'!$L$14:$L$50</c:f>
              <c:numCache>
                <c:formatCode>0.00%</c:formatCode>
                <c:ptCount val="37"/>
                <c:pt idx="0">
                  <c:v>0.05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7.0000000000000007E-2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5.8000000000000003E-2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7.0000000000000007E-2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A-4325-B55A-BFE65543C380}"/>
            </c:ext>
          </c:extLst>
        </c:ser>
        <c:ser>
          <c:idx val="1"/>
          <c:order val="1"/>
          <c:tx>
            <c:v>Linear-interpolation</c:v>
          </c:tx>
          <c:spPr>
            <a:ln w="25400">
              <a:solidFill>
                <a:srgbClr val="808080"/>
              </a:solidFill>
              <a:prstDash val="lgDashDot"/>
            </a:ln>
          </c:spPr>
          <c:marker>
            <c:symbol val="none"/>
          </c:marker>
          <c:val>
            <c:numRef>
              <c:f>'2.Various'!$M$14:$M$50</c:f>
              <c:numCache>
                <c:formatCode>0.00%</c:formatCode>
                <c:ptCount val="37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5.5000000000000007E-2</c:v>
                </c:pt>
                <c:pt idx="6">
                  <c:v>6.0000000000000005E-2</c:v>
                </c:pt>
                <c:pt idx="7">
                  <c:v>6.5000000000000002E-2</c:v>
                </c:pt>
                <c:pt idx="8">
                  <c:v>7.0000000000000007E-2</c:v>
                </c:pt>
                <c:pt idx="9">
                  <c:v>6.7000000000000004E-2</c:v>
                </c:pt>
                <c:pt idx="10">
                  <c:v>6.4000000000000001E-2</c:v>
                </c:pt>
                <c:pt idx="11">
                  <c:v>6.1000000000000006E-2</c:v>
                </c:pt>
                <c:pt idx="12">
                  <c:v>5.8000000000000003E-2</c:v>
                </c:pt>
                <c:pt idx="13">
                  <c:v>5.8500000000000003E-2</c:v>
                </c:pt>
                <c:pt idx="14">
                  <c:v>5.8999999999999997E-2</c:v>
                </c:pt>
                <c:pt idx="15">
                  <c:v>5.9499999999999997E-2</c:v>
                </c:pt>
                <c:pt idx="16">
                  <c:v>0.06</c:v>
                </c:pt>
                <c:pt idx="17">
                  <c:v>6.1249999999999999E-2</c:v>
                </c:pt>
                <c:pt idx="18">
                  <c:v>6.25E-2</c:v>
                </c:pt>
                <c:pt idx="19">
                  <c:v>6.3750000000000001E-2</c:v>
                </c:pt>
                <c:pt idx="20">
                  <c:v>6.5000000000000002E-2</c:v>
                </c:pt>
                <c:pt idx="21">
                  <c:v>6.6250000000000003E-2</c:v>
                </c:pt>
                <c:pt idx="22">
                  <c:v>6.7500000000000004E-2</c:v>
                </c:pt>
                <c:pt idx="23">
                  <c:v>6.8750000000000006E-2</c:v>
                </c:pt>
                <c:pt idx="24">
                  <c:v>7.0000000000000007E-2</c:v>
                </c:pt>
                <c:pt idx="25">
                  <c:v>7.0416666666666669E-2</c:v>
                </c:pt>
                <c:pt idx="26">
                  <c:v>7.0833333333333331E-2</c:v>
                </c:pt>
                <c:pt idx="27">
                  <c:v>7.1250000000000008E-2</c:v>
                </c:pt>
                <c:pt idx="28">
                  <c:v>7.166666666666667E-2</c:v>
                </c:pt>
                <c:pt idx="29">
                  <c:v>7.2083333333333333E-2</c:v>
                </c:pt>
                <c:pt idx="30">
                  <c:v>7.2500000000000009E-2</c:v>
                </c:pt>
                <c:pt idx="31">
                  <c:v>7.2916666666666671E-2</c:v>
                </c:pt>
                <c:pt idx="32">
                  <c:v>7.3333333333333334E-2</c:v>
                </c:pt>
                <c:pt idx="33">
                  <c:v>7.3749999999999996E-2</c:v>
                </c:pt>
                <c:pt idx="34">
                  <c:v>7.4166666666666659E-2</c:v>
                </c:pt>
                <c:pt idx="35">
                  <c:v>7.4583333333333335E-2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6A-4325-B55A-BFE65543C380}"/>
            </c:ext>
          </c:extLst>
        </c:ser>
        <c:ser>
          <c:idx val="2"/>
          <c:order val="2"/>
          <c:tx>
            <c:v>Log-linear interpolation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'2.Various'!$N$14:$N$50</c:f>
              <c:numCache>
                <c:formatCode>0.00%</c:formatCode>
                <c:ptCount val="37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5.438786529686386E-2</c:v>
                </c:pt>
                <c:pt idx="6">
                  <c:v>5.9160797830996162E-2</c:v>
                </c:pt>
                <c:pt idx="7">
                  <c:v>6.43525900657443E-2</c:v>
                </c:pt>
                <c:pt idx="8">
                  <c:v>7.0000000000000007E-2</c:v>
                </c:pt>
                <c:pt idx="9">
                  <c:v>6.6785245752192288E-2</c:v>
                </c:pt>
                <c:pt idx="10">
                  <c:v>6.3718129288295969E-2</c:v>
                </c:pt>
                <c:pt idx="11">
                  <c:v>6.0791870334125815E-2</c:v>
                </c:pt>
                <c:pt idx="12">
                  <c:v>5.8000000000000003E-2</c:v>
                </c:pt>
                <c:pt idx="13">
                  <c:v>5.8493661530721511E-2</c:v>
                </c:pt>
                <c:pt idx="14">
                  <c:v>5.8991524815010507E-2</c:v>
                </c:pt>
                <c:pt idx="15">
                  <c:v>5.9493625615696259E-2</c:v>
                </c:pt>
                <c:pt idx="16">
                  <c:v>0.06</c:v>
                </c:pt>
                <c:pt idx="17">
                  <c:v>6.116734062758885E-2</c:v>
                </c:pt>
                <c:pt idx="18">
                  <c:v>6.2357392657524706E-2</c:v>
                </c:pt>
                <c:pt idx="19">
                  <c:v>6.3570597955518698E-2</c:v>
                </c:pt>
                <c:pt idx="20">
                  <c:v>6.4807406984078608E-2</c:v>
                </c:pt>
                <c:pt idx="21">
                  <c:v>6.606827896976529E-2</c:v>
                </c:pt>
                <c:pt idx="22">
                  <c:v>6.7353682073703305E-2</c:v>
                </c:pt>
                <c:pt idx="23">
                  <c:v>6.8664093565408924E-2</c:v>
                </c:pt>
                <c:pt idx="24">
                  <c:v>7.0000000000000007E-2</c:v>
                </c:pt>
                <c:pt idx="25">
                  <c:v>7.0403617585863359E-2</c:v>
                </c:pt>
                <c:pt idx="26">
                  <c:v>7.0809562416806998E-2</c:v>
                </c:pt>
                <c:pt idx="27">
                  <c:v>7.1217847911645746E-2</c:v>
                </c:pt>
                <c:pt idx="28">
                  <c:v>7.1628487566566923E-2</c:v>
                </c:pt>
                <c:pt idx="29">
                  <c:v>7.2041494955576379E-2</c:v>
                </c:pt>
                <c:pt idx="30">
                  <c:v>7.2456883730947205E-2</c:v>
                </c:pt>
                <c:pt idx="31">
                  <c:v>7.2874667623671008E-2</c:v>
                </c:pt>
                <c:pt idx="32">
                  <c:v>7.3294860443911897E-2</c:v>
                </c:pt>
                <c:pt idx="33">
                  <c:v>7.3717476081462799E-2</c:v>
                </c:pt>
                <c:pt idx="34">
                  <c:v>7.41425285062048E-2</c:v>
                </c:pt>
                <c:pt idx="35">
                  <c:v>7.4570031768568801E-2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26A-4325-B55A-BFE65543C380}"/>
            </c:ext>
          </c:extLst>
        </c:ser>
        <c:ser>
          <c:idx val="3"/>
          <c:order val="3"/>
          <c:tx>
            <c:v>Cubic interpolation</c:v>
          </c:tx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cat>
            <c:numRef>
              <c:f>'2.Various'!$K$14:$K$50</c:f>
              <c:numCache>
                <c:formatCode>0.0</c:formatCode>
                <c:ptCount val="3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</c:numCache>
            </c:numRef>
          </c:cat>
          <c:val>
            <c:numRef>
              <c:f>'2.Various'!$O$14:$O$50</c:f>
              <c:numCache>
                <c:formatCode>0.00%</c:formatCode>
                <c:ptCount val="37"/>
                <c:pt idx="0">
                  <c:v>0.05</c:v>
                </c:pt>
                <c:pt idx="1">
                  <c:v>4.5281250000000002E-2</c:v>
                </c:pt>
                <c:pt idx="2">
                  <c:v>4.4249999999999998E-2</c:v>
                </c:pt>
                <c:pt idx="3">
                  <c:v>4.6093749999999996E-2</c:v>
                </c:pt>
                <c:pt idx="4">
                  <c:v>0.05</c:v>
                </c:pt>
                <c:pt idx="5">
                  <c:v>5.5156250000000004E-2</c:v>
                </c:pt>
                <c:pt idx="6">
                  <c:v>6.0750000000000012E-2</c:v>
                </c:pt>
                <c:pt idx="7">
                  <c:v>6.5968750000000007E-2</c:v>
                </c:pt>
                <c:pt idx="8">
                  <c:v>7.0000000000000007E-2</c:v>
                </c:pt>
                <c:pt idx="9">
                  <c:v>6.8203125000000003E-2</c:v>
                </c:pt>
                <c:pt idx="10">
                  <c:v>6.5125000000000002E-2</c:v>
                </c:pt>
                <c:pt idx="11">
                  <c:v>6.1484375000000008E-2</c:v>
                </c:pt>
                <c:pt idx="12">
                  <c:v>5.8000000000000003E-2</c:v>
                </c:pt>
                <c:pt idx="13">
                  <c:v>5.7539062500000002E-2</c:v>
                </c:pt>
                <c:pt idx="14">
                  <c:v>5.7812500000000003E-2</c:v>
                </c:pt>
                <c:pt idx="15">
                  <c:v>5.8679687500000001E-2</c:v>
                </c:pt>
                <c:pt idx="16">
                  <c:v>0.06</c:v>
                </c:pt>
                <c:pt idx="17">
                  <c:v>6.0964409722222217E-2</c:v>
                </c:pt>
                <c:pt idx="18">
                  <c:v>6.20625E-2</c:v>
                </c:pt>
                <c:pt idx="19">
                  <c:v>6.3268229166666662E-2</c:v>
                </c:pt>
                <c:pt idx="20">
                  <c:v>6.455555555555556E-2</c:v>
                </c:pt>
                <c:pt idx="21">
                  <c:v>6.5898437500000004E-2</c:v>
                </c:pt>
                <c:pt idx="22">
                  <c:v>6.7270833333333335E-2</c:v>
                </c:pt>
                <c:pt idx="23">
                  <c:v>6.8646701388888884E-2</c:v>
                </c:pt>
                <c:pt idx="24">
                  <c:v>7.0000000000000007E-2</c:v>
                </c:pt>
                <c:pt idx="25">
                  <c:v>7.1304687500000019E-2</c:v>
                </c:pt>
                <c:pt idx="26">
                  <c:v>7.253472222222225E-2</c:v>
                </c:pt>
                <c:pt idx="27">
                  <c:v>7.3664062500000002E-2</c:v>
                </c:pt>
                <c:pt idx="28">
                  <c:v>7.4666666666666673E-2</c:v>
                </c:pt>
                <c:pt idx="29">
                  <c:v>7.5516493055555592E-2</c:v>
                </c:pt>
                <c:pt idx="30">
                  <c:v>7.6187500000000019E-2</c:v>
                </c:pt>
                <c:pt idx="31">
                  <c:v>7.6653645833333367E-2</c:v>
                </c:pt>
                <c:pt idx="32">
                  <c:v>7.6888888888888896E-2</c:v>
                </c:pt>
                <c:pt idx="33">
                  <c:v>7.6867187500000003E-2</c:v>
                </c:pt>
                <c:pt idx="34">
                  <c:v>7.6562500000000006E-2</c:v>
                </c:pt>
                <c:pt idx="35">
                  <c:v>7.5948784722222232E-2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26A-4325-B55A-BFE65543C380}"/>
            </c:ext>
          </c:extLst>
        </c:ser>
        <c:ser>
          <c:idx val="4"/>
          <c:order val="4"/>
          <c:tx>
            <c:v>Cubic Spline</c:v>
          </c:tx>
          <c:spPr>
            <a:ln w="12700">
              <a:solidFill>
                <a:srgbClr val="0000D4"/>
              </a:solidFill>
              <a:prstDash val="solid"/>
            </a:ln>
          </c:spPr>
          <c:marker>
            <c:symbol val="none"/>
          </c:marker>
          <c:cat>
            <c:numRef>
              <c:f>'2.Various'!$K$14:$K$50</c:f>
              <c:numCache>
                <c:formatCode>0.0</c:formatCode>
                <c:ptCount val="37"/>
                <c:pt idx="0">
                  <c:v>1</c:v>
                </c:pt>
                <c:pt idx="1">
                  <c:v>1.25</c:v>
                </c:pt>
                <c:pt idx="2">
                  <c:v>1.5</c:v>
                </c:pt>
                <c:pt idx="3">
                  <c:v>1.75</c:v>
                </c:pt>
                <c:pt idx="4">
                  <c:v>2</c:v>
                </c:pt>
                <c:pt idx="5">
                  <c:v>2.25</c:v>
                </c:pt>
                <c:pt idx="6">
                  <c:v>2.5</c:v>
                </c:pt>
                <c:pt idx="7">
                  <c:v>2.75</c:v>
                </c:pt>
                <c:pt idx="8">
                  <c:v>3</c:v>
                </c:pt>
                <c:pt idx="9">
                  <c:v>3.25</c:v>
                </c:pt>
                <c:pt idx="10">
                  <c:v>3.5</c:v>
                </c:pt>
                <c:pt idx="11">
                  <c:v>3.75</c:v>
                </c:pt>
                <c:pt idx="12">
                  <c:v>4</c:v>
                </c:pt>
                <c:pt idx="13">
                  <c:v>4.25</c:v>
                </c:pt>
                <c:pt idx="14">
                  <c:v>4.5</c:v>
                </c:pt>
                <c:pt idx="15">
                  <c:v>4.75</c:v>
                </c:pt>
                <c:pt idx="16">
                  <c:v>5</c:v>
                </c:pt>
                <c:pt idx="17">
                  <c:v>5.25</c:v>
                </c:pt>
                <c:pt idx="18">
                  <c:v>5.5</c:v>
                </c:pt>
                <c:pt idx="19">
                  <c:v>5.75</c:v>
                </c:pt>
                <c:pt idx="20">
                  <c:v>6</c:v>
                </c:pt>
                <c:pt idx="21">
                  <c:v>6.25</c:v>
                </c:pt>
                <c:pt idx="22">
                  <c:v>6.5</c:v>
                </c:pt>
                <c:pt idx="23">
                  <c:v>6.75</c:v>
                </c:pt>
                <c:pt idx="24">
                  <c:v>7</c:v>
                </c:pt>
                <c:pt idx="25">
                  <c:v>7.25</c:v>
                </c:pt>
                <c:pt idx="26">
                  <c:v>7.5</c:v>
                </c:pt>
                <c:pt idx="27">
                  <c:v>7.75</c:v>
                </c:pt>
                <c:pt idx="28">
                  <c:v>8</c:v>
                </c:pt>
                <c:pt idx="29">
                  <c:v>8.25</c:v>
                </c:pt>
                <c:pt idx="30">
                  <c:v>8.5</c:v>
                </c:pt>
                <c:pt idx="31">
                  <c:v>8.75</c:v>
                </c:pt>
                <c:pt idx="32">
                  <c:v>9</c:v>
                </c:pt>
                <c:pt idx="33">
                  <c:v>9.25</c:v>
                </c:pt>
                <c:pt idx="34">
                  <c:v>9.5</c:v>
                </c:pt>
                <c:pt idx="35">
                  <c:v>9.75</c:v>
                </c:pt>
                <c:pt idx="36">
                  <c:v>10</c:v>
                </c:pt>
              </c:numCache>
            </c:numRef>
          </c:cat>
          <c:val>
            <c:numRef>
              <c:f>'2.Various'!$P$14:$P$50</c:f>
              <c:numCache>
                <c:formatCode>0.00%</c:formatCode>
                <c:ptCount val="37"/>
                <c:pt idx="0">
                  <c:v>0.05</c:v>
                </c:pt>
                <c:pt idx="1">
                  <c:v>4.8147971784996656E-2</c:v>
                </c:pt>
                <c:pt idx="2">
                  <c:v>4.7036754855994643E-2</c:v>
                </c:pt>
                <c:pt idx="3">
                  <c:v>4.7407160498995314E-2</c:v>
                </c:pt>
                <c:pt idx="4">
                  <c:v>0.05</c:v>
                </c:pt>
                <c:pt idx="5">
                  <c:v>5.512777335900871E-2</c:v>
                </c:pt>
                <c:pt idx="6">
                  <c:v>6.1389735432016083E-2</c:v>
                </c:pt>
                <c:pt idx="7">
                  <c:v>6.6956829789015404E-2</c:v>
                </c:pt>
                <c:pt idx="8">
                  <c:v>7.0000000000000007E-2</c:v>
                </c:pt>
                <c:pt idx="9">
                  <c:v>6.9278434778968528E-2</c:v>
                </c:pt>
                <c:pt idx="10">
                  <c:v>6.5904303415941071E-2</c:v>
                </c:pt>
                <c:pt idx="11">
                  <c:v>6.1578020344943064E-2</c:v>
                </c:pt>
                <c:pt idx="12">
                  <c:v>5.8000000000000003E-2</c:v>
                </c:pt>
                <c:pt idx="13">
                  <c:v>5.647723752511722E-2</c:v>
                </c:pt>
                <c:pt idx="14">
                  <c:v>5.6743050904219695E-2</c:v>
                </c:pt>
                <c:pt idx="15">
                  <c:v>5.8137338831212325E-2</c:v>
                </c:pt>
                <c:pt idx="16">
                  <c:v>0.06</c:v>
                </c:pt>
                <c:pt idx="17">
                  <c:v>6.1783139023777627E-2</c:v>
                </c:pt>
                <c:pt idx="18">
                  <c:v>6.3387684192900196E-2</c:v>
                </c:pt>
                <c:pt idx="19">
                  <c:v>6.4826769717012719E-2</c:v>
                </c:pt>
                <c:pt idx="20">
                  <c:v>6.6113529805760227E-2</c:v>
                </c:pt>
                <c:pt idx="21">
                  <c:v>6.7261098668787683E-2</c:v>
                </c:pt>
                <c:pt idx="22">
                  <c:v>6.8282610515740139E-2</c:v>
                </c:pt>
                <c:pt idx="23">
                  <c:v>6.9191199556262573E-2</c:v>
                </c:pt>
                <c:pt idx="24">
                  <c:v>7.0000000000000007E-2</c:v>
                </c:pt>
                <c:pt idx="25">
                  <c:v>7.0721160554811355E-2</c:v>
                </c:pt>
                <c:pt idx="26">
                  <c:v>7.1362887921411045E-2</c:v>
                </c:pt>
                <c:pt idx="27">
                  <c:v>7.1932403298727396E-2</c:v>
                </c:pt>
                <c:pt idx="28">
                  <c:v>7.2436927885688771E-2</c:v>
                </c:pt>
                <c:pt idx="29">
                  <c:v>7.2883682881223488E-2</c:v>
                </c:pt>
                <c:pt idx="30">
                  <c:v>7.3279889484259897E-2</c:v>
                </c:pt>
                <c:pt idx="31">
                  <c:v>7.3632768893726289E-2</c:v>
                </c:pt>
                <c:pt idx="32">
                  <c:v>7.3949542308551025E-2</c:v>
                </c:pt>
                <c:pt idx="33">
                  <c:v>7.423743092766244E-2</c:v>
                </c:pt>
                <c:pt idx="34">
                  <c:v>7.450365594998884E-2</c:v>
                </c:pt>
                <c:pt idx="35">
                  <c:v>7.4755438574458585E-2</c:v>
                </c:pt>
                <c:pt idx="36">
                  <c:v>7.4999999999999997E-2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26A-4325-B55A-BFE65543C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54319"/>
        <c:axId val="1"/>
      </c:lineChart>
      <c:catAx>
        <c:axId val="10745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51821144099766048"/>
              <c:y val="0.928173300860891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Geneva"/>
                    <a:ea typeface="Geneva"/>
                    <a:cs typeface="Geneva"/>
                  </a:defRPr>
                </a:pPr>
                <a:r>
                  <a:rPr lang="en-US"/>
                  <a:t>Rates</a:t>
                </a:r>
              </a:p>
            </c:rich>
          </c:tx>
          <c:layout>
            <c:manualLayout>
              <c:xMode val="edge"/>
              <c:yMode val="edge"/>
              <c:x val="1.1645200921295742E-2"/>
              <c:y val="0.453108256549295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Geneva"/>
                <a:ea typeface="Geneva"/>
                <a:cs typeface="Geneva"/>
              </a:defRPr>
            </a:pPr>
            <a:endParaRPr lang="en-US"/>
          </a:p>
        </c:txPr>
        <c:crossAx val="10745431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169139364638575"/>
          <c:y val="0.5688804102050623"/>
          <c:w val="0.44251763500923819"/>
          <c:h val="0.2654775247623624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1" i="0" u="none" strike="noStrike" baseline="0">
              <a:solidFill>
                <a:srgbClr val="000000"/>
              </a:solidFill>
              <a:latin typeface="Geneva"/>
              <a:ea typeface="Geneva"/>
              <a:cs typeface="Geneva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>
      <c:oddFooter>&amp;C&amp;"Symbol,Bold"&amp;14Q&amp;"Palatino,Bold" Tempus Financial Engineering AS</c:oddFooter>
    </c:headerFooter>
    <c:pageMargins b="1" l="0.75" r="0.75" t="1" header="0.5" footer="0.5"/>
    <c:pageSetup paperSize="0" orientation="landscape" horizontalDpi="-4" verticalDpi="-4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13</xdr:row>
      <xdr:rowOff>47625</xdr:rowOff>
    </xdr:from>
    <xdr:to>
      <xdr:col>9</xdr:col>
      <xdr:colOff>400050</xdr:colOff>
      <xdr:row>42</xdr:row>
      <xdr:rowOff>123825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25"/>
  <sheetViews>
    <sheetView showGridLines="0" workbookViewId="0">
      <selection activeCell="A3" sqref="A3"/>
    </sheetView>
  </sheetViews>
  <sheetFormatPr defaultColWidth="10.85546875" defaultRowHeight="12"/>
  <cols>
    <col min="1" max="1" width="10.85546875" style="43"/>
    <col min="2" max="2" width="14.28515625" style="43" bestFit="1" customWidth="1"/>
    <col min="3" max="3" width="13.7109375" style="43" bestFit="1" customWidth="1"/>
    <col min="4" max="16384" width="10.85546875" style="43"/>
  </cols>
  <sheetData>
    <row r="1" spans="1:3" ht="30">
      <c r="A1" s="42" t="s">
        <v>29</v>
      </c>
    </row>
    <row r="2" spans="1:3">
      <c r="A2" s="45"/>
    </row>
    <row r="3" spans="1:3" ht="23.25">
      <c r="B3" s="44" t="s">
        <v>7</v>
      </c>
    </row>
    <row r="4" spans="1:3" ht="12.75">
      <c r="A4" s="45"/>
      <c r="B4" s="46"/>
    </row>
    <row r="5" spans="1:3">
      <c r="B5" s="47" t="s">
        <v>8</v>
      </c>
    </row>
    <row r="6" spans="1:3">
      <c r="B6" s="48"/>
    </row>
    <row r="7" spans="1:3" ht="12.75">
      <c r="B7" s="49">
        <v>1</v>
      </c>
      <c r="C7" s="50" t="s">
        <v>24</v>
      </c>
    </row>
    <row r="8" spans="1:3" ht="12.75">
      <c r="B8" s="49">
        <v>2</v>
      </c>
      <c r="C8" s="50" t="s">
        <v>25</v>
      </c>
    </row>
    <row r="9" spans="1:3" ht="12.75">
      <c r="B9" s="49">
        <v>3</v>
      </c>
      <c r="C9" s="50" t="s">
        <v>18</v>
      </c>
    </row>
    <row r="10" spans="1:3">
      <c r="B10"/>
      <c r="C10"/>
    </row>
    <row r="11" spans="1:3">
      <c r="B11"/>
      <c r="C11"/>
    </row>
    <row r="12" spans="1:3">
      <c r="B12"/>
      <c r="C12"/>
    </row>
    <row r="13" spans="1:3">
      <c r="B13"/>
      <c r="C13"/>
    </row>
    <row r="14" spans="1:3">
      <c r="B14"/>
      <c r="C14"/>
    </row>
    <row r="15" spans="1:3">
      <c r="B15"/>
      <c r="C15"/>
    </row>
    <row r="16" spans="1:3" ht="12.75">
      <c r="B16" s="51"/>
      <c r="C16" s="51"/>
    </row>
    <row r="17" spans="2:3" ht="12.75">
      <c r="B17" s="51"/>
      <c r="C17" s="51"/>
    </row>
    <row r="18" spans="2:3" ht="12.75">
      <c r="B18" s="51"/>
      <c r="C18" s="51"/>
    </row>
    <row r="19" spans="2:3" ht="12.75">
      <c r="B19" s="51"/>
      <c r="C19" s="52"/>
    </row>
    <row r="25" spans="2:3">
      <c r="B25" s="53"/>
    </row>
  </sheetData>
  <phoneticPr fontId="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E9"/>
  <sheetViews>
    <sheetView showGridLines="0" zoomScaleNormal="100" workbookViewId="0">
      <selection activeCell="D11" sqref="D11"/>
    </sheetView>
  </sheetViews>
  <sheetFormatPr defaultColWidth="12.42578125" defaultRowHeight="12.75"/>
  <cols>
    <col min="1" max="1" width="5.7109375" style="83" customWidth="1"/>
    <col min="2" max="16384" width="12.42578125" style="83"/>
  </cols>
  <sheetData>
    <row r="1" spans="2:5" ht="18">
      <c r="B1" s="40" t="s">
        <v>23</v>
      </c>
    </row>
    <row r="2" spans="2:5">
      <c r="B2" s="94"/>
    </row>
    <row r="4" spans="2:5">
      <c r="B4" s="84" t="s">
        <v>26</v>
      </c>
      <c r="C4" s="91">
        <v>6.3E-2</v>
      </c>
      <c r="D4" s="92">
        <f>1/(1+C4)^t1_</f>
        <v>0.83253060247000343</v>
      </c>
      <c r="E4" s="94" t="s">
        <v>27</v>
      </c>
    </row>
    <row r="5" spans="2:5">
      <c r="B5" s="85" t="s">
        <v>26</v>
      </c>
      <c r="C5" s="93">
        <v>7.1999999999999995E-2</v>
      </c>
      <c r="D5" s="95">
        <f>1/(1+C5)^t2_</f>
        <v>0.75721787698560261</v>
      </c>
      <c r="E5" s="94" t="s">
        <v>28</v>
      </c>
    </row>
    <row r="6" spans="2:5">
      <c r="B6" s="85" t="s">
        <v>19</v>
      </c>
      <c r="C6" s="86">
        <v>3</v>
      </c>
    </row>
    <row r="7" spans="2:5">
      <c r="B7" s="85" t="s">
        <v>20</v>
      </c>
      <c r="C7" s="86">
        <v>4</v>
      </c>
    </row>
    <row r="8" spans="2:5">
      <c r="B8" s="87" t="s">
        <v>21</v>
      </c>
      <c r="C8" s="88">
        <v>3.5</v>
      </c>
    </row>
    <row r="9" spans="2:5">
      <c r="B9" s="89" t="s">
        <v>22</v>
      </c>
      <c r="C9" s="90">
        <f>D1_^(ti/t1_*(t2_-ti)/(t2_-t1_))*D2_^(ti/t2_*(ti-t1_)/(t2_-t1_))</f>
        <v>0.79565704536172965</v>
      </c>
    </row>
  </sheetData>
  <phoneticPr fontId="9"/>
  <pageMargins left="0.75" right="0.75" top="1" bottom="1" header="0.5" footer="0.5"/>
  <pageSetup paperSize="0"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75"/>
  <sheetViews>
    <sheetView showGridLines="0" workbookViewId="0">
      <selection activeCell="B3" sqref="B3"/>
    </sheetView>
  </sheetViews>
  <sheetFormatPr defaultRowHeight="12"/>
  <cols>
    <col min="1" max="1" width="2.85546875" customWidth="1"/>
    <col min="2" max="256" width="11.42578125" customWidth="1"/>
  </cols>
  <sheetData>
    <row r="1" spans="1:23" ht="18">
      <c r="A1" s="1"/>
      <c r="B1" s="40" t="s">
        <v>17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54"/>
      <c r="R1" s="54"/>
      <c r="S1" s="54"/>
      <c r="T1" s="54"/>
      <c r="U1" s="54"/>
      <c r="V1" s="81"/>
      <c r="W1" s="80"/>
    </row>
    <row r="2" spans="1:23" ht="12.75">
      <c r="A2" s="1"/>
      <c r="B2" s="9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54"/>
      <c r="R2" s="54"/>
      <c r="S2" s="54"/>
      <c r="T2" s="54"/>
      <c r="U2" s="54"/>
      <c r="V2" s="63">
        <f>INDEX($B$6:$B$12,K14)</f>
        <v>1</v>
      </c>
      <c r="W2" s="54"/>
    </row>
    <row r="3" spans="1:23" ht="12.75">
      <c r="A3" s="1"/>
      <c r="B3" s="1"/>
      <c r="C3" s="1"/>
      <c r="D3" s="1"/>
      <c r="E3" s="78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4"/>
      <c r="R3" s="54"/>
      <c r="S3" s="54"/>
      <c r="T3" s="54"/>
      <c r="U3" s="54"/>
      <c r="V3" s="63" t="str">
        <f>IF(INDEX($B$6:$B$12,K15)&gt;MAX(V$2:$V2),INDEX($B$6:$B$12,K15),"")</f>
        <v/>
      </c>
      <c r="W3" s="54"/>
    </row>
    <row r="4" spans="1:23" ht="12.75">
      <c r="A4" s="1"/>
      <c r="B4" s="1"/>
      <c r="C4" s="1"/>
      <c r="D4" s="1"/>
      <c r="E4" s="78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4"/>
      <c r="R4" s="54"/>
      <c r="S4" s="54"/>
      <c r="T4" s="54"/>
      <c r="U4" s="54"/>
      <c r="V4" s="63" t="str">
        <f>IF(INDEX($B$6:$B$12,K16)&gt;MAX(V$2:$V3),INDEX($B$6:$B$12,K16),"")</f>
        <v/>
      </c>
      <c r="W4" s="54"/>
    </row>
    <row r="5" spans="1:23" ht="13.5" thickBot="1">
      <c r="A5" s="1"/>
      <c r="B5" s="79" t="s">
        <v>0</v>
      </c>
      <c r="C5" s="79" t="s">
        <v>16</v>
      </c>
      <c r="D5" s="1"/>
      <c r="E5" s="78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54"/>
      <c r="R5" s="54"/>
      <c r="S5" s="54"/>
      <c r="T5" s="54"/>
      <c r="U5" s="54"/>
      <c r="V5" s="63" t="str">
        <f>IF(INDEX($B$6:$B$12,K17)&gt;MAX(V$2:$V4),INDEX($B$6:$B$12,K17),"")</f>
        <v/>
      </c>
      <c r="W5" s="54"/>
    </row>
    <row r="6" spans="1:23" ht="12.75">
      <c r="A6" s="1"/>
      <c r="B6" s="77">
        <v>1</v>
      </c>
      <c r="C6" s="76">
        <v>0.05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54"/>
      <c r="R6" s="54"/>
      <c r="S6" s="54"/>
      <c r="T6" s="54"/>
      <c r="U6" s="54"/>
      <c r="V6" s="63">
        <f>IF(MATCH(K18,$B$6:$B$12)&gt;MAX(V$2:$V5),MATCH(K18,$B$6:$B$12),"")</f>
        <v>2</v>
      </c>
      <c r="W6" s="54"/>
    </row>
    <row r="7" spans="1:23" ht="12.75">
      <c r="A7" s="1"/>
      <c r="B7" s="75">
        <v>2</v>
      </c>
      <c r="C7" s="74">
        <v>0.05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54"/>
      <c r="R7" s="54"/>
      <c r="S7" s="54"/>
      <c r="T7" s="54"/>
      <c r="U7" s="54"/>
      <c r="V7" s="63" t="str">
        <f>IF(MATCH(K19,$B$6:$B$12)&gt;MAX(V$2:$V6),MATCH(K19,$B$6:$B$12),"")</f>
        <v/>
      </c>
      <c r="W7" s="54"/>
    </row>
    <row r="8" spans="1:23" ht="12.75">
      <c r="A8" s="1"/>
      <c r="B8" s="75">
        <v>3</v>
      </c>
      <c r="C8" s="74">
        <v>7.0000000000000007E-2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54"/>
      <c r="R8" s="54"/>
      <c r="S8" s="54"/>
      <c r="T8" s="54"/>
      <c r="U8" s="54"/>
      <c r="V8" s="63" t="str">
        <f>IF(MATCH(K20,$B$6:$B$12)&gt;MAX(V$2:$V7),MATCH(K20,$B$6:$B$12),"")</f>
        <v/>
      </c>
      <c r="W8" s="54"/>
    </row>
    <row r="9" spans="1:23" ht="12.75">
      <c r="A9" s="1"/>
      <c r="B9" s="75">
        <v>4</v>
      </c>
      <c r="C9" s="74">
        <v>5.8000000000000003E-2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54"/>
      <c r="R9" s="54"/>
      <c r="S9" s="54"/>
      <c r="T9" s="54"/>
      <c r="U9" s="54"/>
      <c r="V9" s="63" t="str">
        <f>IF(MATCH(K21,$B$6:$B$12)&gt;MAX(V$2:$V8),MATCH(K21,$B$6:$B$12),"")</f>
        <v/>
      </c>
      <c r="W9" s="54"/>
    </row>
    <row r="10" spans="1:23" ht="12.75">
      <c r="A10" s="1"/>
      <c r="B10" s="75">
        <v>5</v>
      </c>
      <c r="C10" s="74">
        <v>0.06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54"/>
      <c r="R10" s="54"/>
      <c r="S10" s="54"/>
      <c r="T10" s="54"/>
      <c r="U10" s="54"/>
      <c r="V10" s="63">
        <f>IF(MATCH(K22,$B$6:$B$12)&gt;MAX(V$2:$V9),MATCH(K22,$B$6:$B$12),"")</f>
        <v>3</v>
      </c>
      <c r="W10" s="54"/>
    </row>
    <row r="11" spans="1:23" ht="12.75">
      <c r="A11" s="1"/>
      <c r="B11" s="75">
        <v>7</v>
      </c>
      <c r="C11" s="74">
        <v>7.0000000000000007E-2</v>
      </c>
      <c r="D11" s="1"/>
      <c r="E11" s="1"/>
      <c r="F11" s="1"/>
      <c r="G11" s="1"/>
      <c r="H11" s="1"/>
      <c r="I11" s="1"/>
      <c r="J11" s="1"/>
      <c r="K11" s="73"/>
      <c r="L11" s="1"/>
      <c r="M11" s="1"/>
      <c r="N11" s="1"/>
      <c r="O11" s="1"/>
      <c r="P11" s="1"/>
      <c r="Q11" s="54"/>
      <c r="R11" s="54"/>
      <c r="S11" s="54"/>
      <c r="T11" s="54"/>
      <c r="U11" s="54"/>
      <c r="V11" s="63" t="str">
        <f>IF(MATCH(K23,$B$6:$B$12)&gt;MAX(V$2:$V10),MATCH(K23,$B$6:$B$12),"")</f>
        <v/>
      </c>
      <c r="W11" s="54"/>
    </row>
    <row r="12" spans="1:23" ht="13.5" thickBot="1">
      <c r="A12" s="1"/>
      <c r="B12" s="72">
        <v>10</v>
      </c>
      <c r="C12" s="71">
        <v>7.4999999999999997E-2</v>
      </c>
      <c r="D12" s="1"/>
      <c r="E12" s="1"/>
      <c r="F12" s="1"/>
      <c r="G12" s="1"/>
      <c r="H12" s="1"/>
      <c r="I12" s="1"/>
      <c r="J12" s="1"/>
      <c r="K12" s="70"/>
      <c r="L12" s="69"/>
      <c r="M12" s="69" t="s">
        <v>15</v>
      </c>
      <c r="N12" s="69" t="s">
        <v>14</v>
      </c>
      <c r="O12" s="69" t="s">
        <v>13</v>
      </c>
      <c r="P12" s="69"/>
      <c r="Q12" s="54"/>
      <c r="R12" s="54"/>
      <c r="S12" s="54"/>
      <c r="T12" s="54"/>
      <c r="U12" s="54"/>
      <c r="V12" s="63" t="str">
        <f>IF(MATCH(K24,$B$6:$B$12)&gt;MAX(V$2:$V11),MATCH(K24,$B$6:$B$12),"")</f>
        <v/>
      </c>
      <c r="W12" s="54"/>
    </row>
    <row r="13" spans="1:23" ht="13.5" thickBot="1">
      <c r="A13" s="1"/>
      <c r="B13" s="1"/>
      <c r="C13" s="1"/>
      <c r="D13" s="1"/>
      <c r="E13" s="1"/>
      <c r="F13" s="1"/>
      <c r="G13" s="1"/>
      <c r="H13" s="1"/>
      <c r="I13" s="1"/>
      <c r="J13" s="1"/>
      <c r="K13" s="69" t="s">
        <v>0</v>
      </c>
      <c r="L13" s="69" t="s">
        <v>12</v>
      </c>
      <c r="M13" s="69" t="s">
        <v>11</v>
      </c>
      <c r="N13" s="69" t="s">
        <v>11</v>
      </c>
      <c r="O13" s="69" t="s">
        <v>10</v>
      </c>
      <c r="P13" s="68" t="s">
        <v>9</v>
      </c>
      <c r="Q13" s="54"/>
      <c r="R13" s="54"/>
      <c r="S13" s="54"/>
      <c r="T13" s="54"/>
      <c r="U13" s="54"/>
      <c r="V13" s="63" t="str">
        <f>IF(MATCH(K25,$B$6:$B$12)&gt;MAX(V$2:$V12),MATCH(K25,$B$6:$B$12),"")</f>
        <v/>
      </c>
      <c r="W13" s="54"/>
    </row>
    <row r="14" spans="1:23" ht="12.75">
      <c r="A14" s="1"/>
      <c r="B14" s="1"/>
      <c r="C14" s="1"/>
      <c r="D14" s="1"/>
      <c r="E14" s="1"/>
      <c r="F14" s="1"/>
      <c r="G14" s="1"/>
      <c r="H14" s="1"/>
      <c r="I14" s="1"/>
      <c r="J14" s="1"/>
      <c r="K14" s="67">
        <f>B6</f>
        <v>1</v>
      </c>
      <c r="L14" s="66">
        <f t="shared" ref="L14:L49" si="0">IF(V2="","",VLOOKUP(K14,$B$6:$C$12,2))</f>
        <v>0.05</v>
      </c>
      <c r="M14" s="65">
        <f t="shared" ref="M14:M49" si="1">EInterpolation($B$6:$B$12,$C$6:$C$12,$K14,1)</f>
        <v>0.05</v>
      </c>
      <c r="N14" s="65">
        <f t="shared" ref="N14:N49" si="2">EInterpolation($B$6:$B$12,$C$6:$C$12,$K14,2)</f>
        <v>0.05</v>
      </c>
      <c r="O14" s="65">
        <f t="shared" ref="O14:O49" si="3">EInterpolation($B$6:$B$12,$C$6:$C$12,$K14,3)</f>
        <v>0.05</v>
      </c>
      <c r="P14" s="64">
        <f t="array" ref="P14:P50">CubicSpline(B6:B12,C6:C12,K14:K50)</f>
        <v>0.05</v>
      </c>
      <c r="Q14" s="54"/>
      <c r="R14" s="54"/>
      <c r="S14" s="54"/>
      <c r="T14" s="54"/>
      <c r="U14" s="54"/>
      <c r="V14" s="63">
        <f>IF(MATCH(K26,$B$6:$B$12)&gt;MAX(V$2:$V13),MATCH(K26,$B$6:$B$12),"")</f>
        <v>4</v>
      </c>
      <c r="W14" s="54"/>
    </row>
    <row r="15" spans="1:23" ht="12.75">
      <c r="A15" s="1"/>
      <c r="B15" s="1"/>
      <c r="C15" s="1"/>
      <c r="D15" s="1"/>
      <c r="E15" s="1"/>
      <c r="F15" s="1"/>
      <c r="G15" s="1"/>
      <c r="H15" s="1"/>
      <c r="I15" s="1"/>
      <c r="J15" s="1"/>
      <c r="K15" s="62">
        <f t="shared" ref="K15:K49" si="4">K14+($B$12-$B$6)/36</f>
        <v>1.25</v>
      </c>
      <c r="L15" s="61" t="str">
        <f t="shared" si="0"/>
        <v/>
      </c>
      <c r="M15" s="60">
        <f t="shared" si="1"/>
        <v>0.05</v>
      </c>
      <c r="N15" s="60">
        <f t="shared" si="2"/>
        <v>0.05</v>
      </c>
      <c r="O15" s="60">
        <f t="shared" si="3"/>
        <v>4.5281250000000002E-2</v>
      </c>
      <c r="P15" s="59">
        <v>4.8147971784996656E-2</v>
      </c>
      <c r="Q15" s="54"/>
      <c r="R15" s="54"/>
      <c r="S15" s="54"/>
      <c r="T15" s="54"/>
      <c r="U15" s="54"/>
      <c r="V15" s="63" t="str">
        <f>IF(MATCH(K27,$B$6:$B$12)&gt;MAX(V$2:$V14),MATCH(K27,$B$6:$B$12),"")</f>
        <v/>
      </c>
      <c r="W15" s="54"/>
    </row>
    <row r="16" spans="1:23" ht="12.75">
      <c r="A16" s="1"/>
      <c r="B16" s="1"/>
      <c r="C16" s="1"/>
      <c r="D16" s="1"/>
      <c r="E16" s="1"/>
      <c r="F16" s="1"/>
      <c r="G16" s="1"/>
      <c r="H16" s="1"/>
      <c r="I16" s="1"/>
      <c r="J16" s="1"/>
      <c r="K16" s="62">
        <f t="shared" si="4"/>
        <v>1.5</v>
      </c>
      <c r="L16" s="61" t="str">
        <f t="shared" si="0"/>
        <v/>
      </c>
      <c r="M16" s="60">
        <f t="shared" si="1"/>
        <v>0.05</v>
      </c>
      <c r="N16" s="60">
        <f t="shared" si="2"/>
        <v>0.05</v>
      </c>
      <c r="O16" s="60">
        <f t="shared" si="3"/>
        <v>4.4249999999999998E-2</v>
      </c>
      <c r="P16" s="59">
        <v>4.7036754855994643E-2</v>
      </c>
      <c r="Q16" s="54"/>
      <c r="R16" s="54"/>
      <c r="S16" s="54"/>
      <c r="T16" s="54"/>
      <c r="U16" s="54"/>
      <c r="V16" s="63" t="str">
        <f>IF(MATCH(K28,$B$6:$B$12)&gt;MAX(V$2:$V15),MATCH(K28,$B$6:$B$12),"")</f>
        <v/>
      </c>
      <c r="W16" s="54"/>
    </row>
    <row r="17" spans="1:23" ht="12.75">
      <c r="A17" s="1"/>
      <c r="B17" s="1"/>
      <c r="C17" s="1"/>
      <c r="D17" s="1"/>
      <c r="E17" s="1"/>
      <c r="F17" s="1"/>
      <c r="G17" s="1"/>
      <c r="H17" s="1"/>
      <c r="I17" s="1"/>
      <c r="J17" s="1"/>
      <c r="K17" s="62">
        <f t="shared" si="4"/>
        <v>1.75</v>
      </c>
      <c r="L17" s="61" t="str">
        <f t="shared" si="0"/>
        <v/>
      </c>
      <c r="M17" s="60">
        <f t="shared" si="1"/>
        <v>0.05</v>
      </c>
      <c r="N17" s="60">
        <f t="shared" si="2"/>
        <v>0.05</v>
      </c>
      <c r="O17" s="60">
        <f t="shared" si="3"/>
        <v>4.6093749999999996E-2</v>
      </c>
      <c r="P17" s="59">
        <v>4.7407160498995314E-2</v>
      </c>
      <c r="Q17" s="54"/>
      <c r="R17" s="54"/>
      <c r="S17" s="54"/>
      <c r="T17" s="54"/>
      <c r="U17" s="54"/>
      <c r="V17" s="63" t="str">
        <f>IF(MATCH(K29,$B$6:$B$12)&gt;MAX(V$2:$V16),MATCH(K29,$B$6:$B$12),"")</f>
        <v/>
      </c>
      <c r="W17" s="54"/>
    </row>
    <row r="18" spans="1:23" ht="12.75">
      <c r="A18" s="1"/>
      <c r="B18" s="1"/>
      <c r="C18" s="1"/>
      <c r="D18" s="1"/>
      <c r="E18" s="1"/>
      <c r="F18" s="1"/>
      <c r="G18" s="1"/>
      <c r="H18" s="1"/>
      <c r="I18" s="1"/>
      <c r="J18" s="1"/>
      <c r="K18" s="62">
        <f t="shared" si="4"/>
        <v>2</v>
      </c>
      <c r="L18" s="61">
        <f t="shared" si="0"/>
        <v>0.05</v>
      </c>
      <c r="M18" s="60">
        <f t="shared" si="1"/>
        <v>0.05</v>
      </c>
      <c r="N18" s="60">
        <f t="shared" si="2"/>
        <v>0.05</v>
      </c>
      <c r="O18" s="60">
        <f t="shared" si="3"/>
        <v>0.05</v>
      </c>
      <c r="P18" s="59">
        <v>0.05</v>
      </c>
      <c r="Q18" s="54"/>
      <c r="R18" s="54"/>
      <c r="S18" s="54"/>
      <c r="T18" s="54"/>
      <c r="U18" s="54"/>
      <c r="V18" s="63">
        <f>IF(MATCH(K30,$B$6:$B$12)&gt;MAX(V$2:$V17),MATCH(K30,$B$6:$B$12),"")</f>
        <v>5</v>
      </c>
      <c r="W18" s="54"/>
    </row>
    <row r="19" spans="1:23" ht="12.75">
      <c r="A19" s="1"/>
      <c r="B19" s="1"/>
      <c r="C19" s="1"/>
      <c r="D19" s="1"/>
      <c r="E19" s="1"/>
      <c r="F19" s="1"/>
      <c r="G19" s="1"/>
      <c r="H19" s="1"/>
      <c r="I19" s="1"/>
      <c r="J19" s="1"/>
      <c r="K19" s="62">
        <f t="shared" si="4"/>
        <v>2.25</v>
      </c>
      <c r="L19" s="61" t="str">
        <f t="shared" si="0"/>
        <v/>
      </c>
      <c r="M19" s="60">
        <f t="shared" si="1"/>
        <v>5.5000000000000007E-2</v>
      </c>
      <c r="N19" s="60">
        <f t="shared" si="2"/>
        <v>5.438786529686386E-2</v>
      </c>
      <c r="O19" s="60">
        <f t="shared" si="3"/>
        <v>5.5156250000000004E-2</v>
      </c>
      <c r="P19" s="59">
        <v>5.512777335900871E-2</v>
      </c>
      <c r="Q19" s="54"/>
      <c r="R19" s="54"/>
      <c r="S19" s="54"/>
      <c r="T19" s="54"/>
      <c r="U19" s="54"/>
      <c r="V19" s="63" t="str">
        <f>IF(MATCH(K31,$B$6:$B$12)&gt;MAX(V$2:$V18),MATCH(K31,$B$6:$B$12),"")</f>
        <v/>
      </c>
      <c r="W19" s="54"/>
    </row>
    <row r="20" spans="1:23" ht="12.75">
      <c r="A20" s="1"/>
      <c r="B20" s="1"/>
      <c r="C20" s="1"/>
      <c r="D20" s="1"/>
      <c r="E20" s="1"/>
      <c r="F20" s="1"/>
      <c r="G20" s="1"/>
      <c r="H20" s="1"/>
      <c r="I20" s="1"/>
      <c r="J20" s="1"/>
      <c r="K20" s="62">
        <f t="shared" si="4"/>
        <v>2.5</v>
      </c>
      <c r="L20" s="61" t="str">
        <f t="shared" si="0"/>
        <v/>
      </c>
      <c r="M20" s="60">
        <f t="shared" si="1"/>
        <v>6.0000000000000005E-2</v>
      </c>
      <c r="N20" s="60">
        <f t="shared" si="2"/>
        <v>5.9160797830996162E-2</v>
      </c>
      <c r="O20" s="60">
        <f t="shared" si="3"/>
        <v>6.0750000000000012E-2</v>
      </c>
      <c r="P20" s="59">
        <v>6.1389735432016083E-2</v>
      </c>
      <c r="Q20" s="54"/>
      <c r="R20" s="54"/>
      <c r="S20" s="54"/>
      <c r="T20" s="54"/>
      <c r="U20" s="54"/>
      <c r="V20" s="63" t="str">
        <f>IF(MATCH(K32,$B$6:$B$12)&gt;MAX(V$2:$V19),MATCH(K32,$B$6:$B$12),"")</f>
        <v/>
      </c>
      <c r="W20" s="54"/>
    </row>
    <row r="21" spans="1:23" ht="12.75">
      <c r="A21" s="1"/>
      <c r="B21" s="1"/>
      <c r="C21" s="1"/>
      <c r="D21" s="1"/>
      <c r="E21" s="1"/>
      <c r="F21" s="1"/>
      <c r="G21" s="1"/>
      <c r="H21" s="1"/>
      <c r="I21" s="1"/>
      <c r="J21" s="1"/>
      <c r="K21" s="62">
        <f t="shared" si="4"/>
        <v>2.75</v>
      </c>
      <c r="L21" s="61" t="str">
        <f t="shared" si="0"/>
        <v/>
      </c>
      <c r="M21" s="60">
        <f t="shared" si="1"/>
        <v>6.5000000000000002E-2</v>
      </c>
      <c r="N21" s="60">
        <f t="shared" si="2"/>
        <v>6.43525900657443E-2</v>
      </c>
      <c r="O21" s="60">
        <f t="shared" si="3"/>
        <v>6.5968750000000007E-2</v>
      </c>
      <c r="P21" s="59">
        <v>6.6956829789015404E-2</v>
      </c>
      <c r="Q21" s="54"/>
      <c r="R21" s="54"/>
      <c r="S21" s="54"/>
      <c r="T21" s="54"/>
      <c r="U21" s="54"/>
      <c r="V21" s="63" t="str">
        <f>IF(MATCH(K33,$B$6:$B$12)&gt;MAX(V$2:$V20),MATCH(K33,$B$6:$B$12),"")</f>
        <v/>
      </c>
      <c r="W21" s="54"/>
    </row>
    <row r="22" spans="1:23" ht="12.75">
      <c r="A22" s="1"/>
      <c r="B22" s="1"/>
      <c r="C22" s="1"/>
      <c r="D22" s="1"/>
      <c r="E22" s="1"/>
      <c r="F22" s="1"/>
      <c r="G22" s="1"/>
      <c r="H22" s="1"/>
      <c r="I22" s="1"/>
      <c r="J22" s="1"/>
      <c r="K22" s="62">
        <f t="shared" si="4"/>
        <v>3</v>
      </c>
      <c r="L22" s="61">
        <f t="shared" si="0"/>
        <v>7.0000000000000007E-2</v>
      </c>
      <c r="M22" s="60">
        <f t="shared" si="1"/>
        <v>7.0000000000000007E-2</v>
      </c>
      <c r="N22" s="60">
        <f t="shared" si="2"/>
        <v>7.0000000000000007E-2</v>
      </c>
      <c r="O22" s="60">
        <f t="shared" si="3"/>
        <v>7.0000000000000007E-2</v>
      </c>
      <c r="P22" s="59">
        <v>7.0000000000000007E-2</v>
      </c>
      <c r="Q22" s="54"/>
      <c r="R22" s="54"/>
      <c r="S22" s="54"/>
      <c r="T22" s="54"/>
      <c r="U22" s="54"/>
      <c r="V22" s="63" t="str">
        <f>IF(MATCH(K34,$B$6:$B$12)&gt;MAX(V$2:$V21),MATCH(K34,$B$6:$B$12),"")</f>
        <v/>
      </c>
      <c r="W22" s="54"/>
    </row>
    <row r="23" spans="1:23" ht="12.75">
      <c r="A23" s="1"/>
      <c r="B23" s="1"/>
      <c r="C23" s="1"/>
      <c r="D23" s="1"/>
      <c r="E23" s="1"/>
      <c r="F23" s="1"/>
      <c r="G23" s="1"/>
      <c r="H23" s="1"/>
      <c r="I23" s="1"/>
      <c r="J23" s="1"/>
      <c r="K23" s="62">
        <f t="shared" si="4"/>
        <v>3.25</v>
      </c>
      <c r="L23" s="61" t="str">
        <f t="shared" si="0"/>
        <v/>
      </c>
      <c r="M23" s="60">
        <f t="shared" si="1"/>
        <v>6.7000000000000004E-2</v>
      </c>
      <c r="N23" s="60">
        <f t="shared" si="2"/>
        <v>6.6785245752192288E-2</v>
      </c>
      <c r="O23" s="60">
        <f t="shared" si="3"/>
        <v>6.8203125000000003E-2</v>
      </c>
      <c r="P23" s="59">
        <v>6.9278434778968528E-2</v>
      </c>
      <c r="Q23" s="54"/>
      <c r="R23" s="54"/>
      <c r="S23" s="54"/>
      <c r="T23" s="54"/>
      <c r="U23" s="54"/>
      <c r="V23" s="63" t="str">
        <f>IF(MATCH(K35,$B$6:$B$12)&gt;MAX(V$2:$V22),MATCH(K35,$B$6:$B$12),"")</f>
        <v/>
      </c>
      <c r="W23" s="54"/>
    </row>
    <row r="24" spans="1:23" ht="12.75">
      <c r="A24" s="1"/>
      <c r="B24" s="1"/>
      <c r="C24" s="1"/>
      <c r="D24" s="1"/>
      <c r="E24" s="1"/>
      <c r="F24" s="1"/>
      <c r="G24" s="1"/>
      <c r="H24" s="1"/>
      <c r="I24" s="1"/>
      <c r="J24" s="1"/>
      <c r="K24" s="62">
        <f t="shared" si="4"/>
        <v>3.5</v>
      </c>
      <c r="L24" s="61" t="str">
        <f t="shared" si="0"/>
        <v/>
      </c>
      <c r="M24" s="60">
        <f t="shared" si="1"/>
        <v>6.4000000000000001E-2</v>
      </c>
      <c r="N24" s="60">
        <f t="shared" si="2"/>
        <v>6.3718129288295969E-2</v>
      </c>
      <c r="O24" s="60">
        <f t="shared" si="3"/>
        <v>6.5125000000000002E-2</v>
      </c>
      <c r="P24" s="59">
        <v>6.5904303415941071E-2</v>
      </c>
      <c r="Q24" s="54"/>
      <c r="R24" s="54"/>
      <c r="S24" s="54"/>
      <c r="T24" s="54"/>
      <c r="U24" s="54"/>
      <c r="V24" s="63" t="str">
        <f>IF(MATCH(K36,$B$6:$B$12)&gt;MAX(V$2:$V23),MATCH(K36,$B$6:$B$12),"")</f>
        <v/>
      </c>
      <c r="W24" s="54"/>
    </row>
    <row r="25" spans="1:23" ht="12.75">
      <c r="A25" s="1"/>
      <c r="B25" s="1"/>
      <c r="C25" s="1"/>
      <c r="D25" s="1"/>
      <c r="E25" s="1"/>
      <c r="F25" s="1"/>
      <c r="G25" s="1"/>
      <c r="H25" s="1"/>
      <c r="I25" s="1"/>
      <c r="J25" s="1"/>
      <c r="K25" s="62">
        <f t="shared" si="4"/>
        <v>3.75</v>
      </c>
      <c r="L25" s="61" t="str">
        <f t="shared" si="0"/>
        <v/>
      </c>
      <c r="M25" s="60">
        <f t="shared" si="1"/>
        <v>6.1000000000000006E-2</v>
      </c>
      <c r="N25" s="60">
        <f t="shared" si="2"/>
        <v>6.0791870334125815E-2</v>
      </c>
      <c r="O25" s="60">
        <f t="shared" si="3"/>
        <v>6.1484375000000008E-2</v>
      </c>
      <c r="P25" s="59">
        <v>6.1578020344943064E-2</v>
      </c>
      <c r="Q25" s="54"/>
      <c r="R25" s="54"/>
      <c r="S25" s="54"/>
      <c r="T25" s="54"/>
      <c r="U25" s="54"/>
      <c r="V25" s="63" t="str">
        <f>IF(MATCH(K37,$B$6:$B$12)&gt;MAX(V$2:$V24),MATCH(K37,$B$6:$B$12),"")</f>
        <v/>
      </c>
      <c r="W25" s="54"/>
    </row>
    <row r="26" spans="1:23" ht="12.75">
      <c r="A26" s="1"/>
      <c r="B26" s="1"/>
      <c r="C26" s="1"/>
      <c r="D26" s="1"/>
      <c r="E26" s="1"/>
      <c r="F26" s="1"/>
      <c r="G26" s="1"/>
      <c r="H26" s="1"/>
      <c r="I26" s="1"/>
      <c r="J26" s="1"/>
      <c r="K26" s="62">
        <f t="shared" si="4"/>
        <v>4</v>
      </c>
      <c r="L26" s="61">
        <f t="shared" si="0"/>
        <v>5.8000000000000003E-2</v>
      </c>
      <c r="M26" s="60">
        <f t="shared" si="1"/>
        <v>5.8000000000000003E-2</v>
      </c>
      <c r="N26" s="60">
        <f t="shared" si="2"/>
        <v>5.8000000000000003E-2</v>
      </c>
      <c r="O26" s="60">
        <f t="shared" si="3"/>
        <v>5.8000000000000003E-2</v>
      </c>
      <c r="P26" s="59">
        <v>5.8000000000000003E-2</v>
      </c>
      <c r="Q26" s="54"/>
      <c r="R26" s="54"/>
      <c r="S26" s="54"/>
      <c r="T26" s="54"/>
      <c r="U26" s="54"/>
      <c r="V26" s="63">
        <f>IF(MATCH(K38,$B$6:$B$12)&gt;MAX(V$2:$V25),MATCH(K38,$B$6:$B$12),"")</f>
        <v>6</v>
      </c>
      <c r="W26" s="54"/>
    </row>
    <row r="27" spans="1:23" ht="12.75">
      <c r="A27" s="1"/>
      <c r="B27" s="1"/>
      <c r="C27" s="1"/>
      <c r="D27" s="1"/>
      <c r="E27" s="1"/>
      <c r="F27" s="1"/>
      <c r="G27" s="1"/>
      <c r="H27" s="1"/>
      <c r="I27" s="1"/>
      <c r="J27" s="1"/>
      <c r="K27" s="62">
        <f t="shared" si="4"/>
        <v>4.25</v>
      </c>
      <c r="L27" s="61" t="str">
        <f t="shared" si="0"/>
        <v/>
      </c>
      <c r="M27" s="60">
        <f t="shared" si="1"/>
        <v>5.8500000000000003E-2</v>
      </c>
      <c r="N27" s="60">
        <f t="shared" si="2"/>
        <v>5.8493661530721511E-2</v>
      </c>
      <c r="O27" s="60">
        <f t="shared" si="3"/>
        <v>5.7539062500000002E-2</v>
      </c>
      <c r="P27" s="59">
        <v>5.647723752511722E-2</v>
      </c>
      <c r="Q27" s="54"/>
      <c r="R27" s="54"/>
      <c r="S27" s="54"/>
      <c r="T27" s="54"/>
      <c r="U27" s="54"/>
      <c r="V27" s="63" t="str">
        <f>IF(MATCH(K39,$B$6:$B$12)&gt;MAX(V$2:$V26),MATCH(K39,$B$6:$B$12),"")</f>
        <v/>
      </c>
      <c r="W27" s="54"/>
    </row>
    <row r="28" spans="1:23" ht="12.75">
      <c r="A28" s="1"/>
      <c r="B28" s="1"/>
      <c r="C28" s="1"/>
      <c r="D28" s="1"/>
      <c r="E28" s="1"/>
      <c r="F28" s="1"/>
      <c r="G28" s="1"/>
      <c r="H28" s="1"/>
      <c r="I28" s="1"/>
      <c r="J28" s="1"/>
      <c r="K28" s="62">
        <f t="shared" si="4"/>
        <v>4.5</v>
      </c>
      <c r="L28" s="61" t="str">
        <f t="shared" si="0"/>
        <v/>
      </c>
      <c r="M28" s="60">
        <f t="shared" si="1"/>
        <v>5.8999999999999997E-2</v>
      </c>
      <c r="N28" s="60">
        <f t="shared" si="2"/>
        <v>5.8991524815010507E-2</v>
      </c>
      <c r="O28" s="60">
        <f t="shared" si="3"/>
        <v>5.7812500000000003E-2</v>
      </c>
      <c r="P28" s="59">
        <v>5.6743050904219695E-2</v>
      </c>
      <c r="Q28" s="54"/>
      <c r="R28" s="54"/>
      <c r="S28" s="54"/>
      <c r="T28" s="54"/>
      <c r="U28" s="54"/>
      <c r="V28" s="63" t="str">
        <f>IF(MATCH(K40,$B$6:$B$12)&gt;MAX(V$2:$V27),MATCH(K40,$B$6:$B$12),"")</f>
        <v/>
      </c>
      <c r="W28" s="54"/>
    </row>
    <row r="29" spans="1:23" ht="12.75">
      <c r="A29" s="1"/>
      <c r="B29" s="1"/>
      <c r="C29" s="1"/>
      <c r="D29" s="1"/>
      <c r="E29" s="1"/>
      <c r="F29" s="1"/>
      <c r="G29" s="1"/>
      <c r="H29" s="1"/>
      <c r="I29" s="1"/>
      <c r="J29" s="1"/>
      <c r="K29" s="62">
        <f t="shared" si="4"/>
        <v>4.75</v>
      </c>
      <c r="L29" s="61" t="str">
        <f t="shared" si="0"/>
        <v/>
      </c>
      <c r="M29" s="60">
        <f t="shared" si="1"/>
        <v>5.9499999999999997E-2</v>
      </c>
      <c r="N29" s="60">
        <f t="shared" si="2"/>
        <v>5.9493625615696259E-2</v>
      </c>
      <c r="O29" s="60">
        <f t="shared" si="3"/>
        <v>5.8679687500000001E-2</v>
      </c>
      <c r="P29" s="59">
        <v>5.8137338831212325E-2</v>
      </c>
      <c r="Q29" s="54"/>
      <c r="R29" s="54"/>
      <c r="S29" s="54"/>
      <c r="T29" s="54"/>
      <c r="U29" s="54"/>
      <c r="V29" s="63" t="str">
        <f>IF(MATCH(K41,$B$6:$B$12)&gt;MAX(V$2:$V28),MATCH(K41,$B$6:$B$12),"")</f>
        <v/>
      </c>
      <c r="W29" s="54"/>
    </row>
    <row r="30" spans="1:23" ht="12.75">
      <c r="A30" s="1"/>
      <c r="B30" s="1"/>
      <c r="C30" s="1"/>
      <c r="D30" s="1"/>
      <c r="E30" s="1"/>
      <c r="F30" s="1"/>
      <c r="G30" s="1"/>
      <c r="H30" s="1"/>
      <c r="I30" s="1"/>
      <c r="J30" s="1"/>
      <c r="K30" s="62">
        <f t="shared" si="4"/>
        <v>5</v>
      </c>
      <c r="L30" s="61">
        <f t="shared" si="0"/>
        <v>0.06</v>
      </c>
      <c r="M30" s="60">
        <f t="shared" si="1"/>
        <v>0.06</v>
      </c>
      <c r="N30" s="60">
        <f t="shared" si="2"/>
        <v>0.06</v>
      </c>
      <c r="O30" s="60">
        <f t="shared" si="3"/>
        <v>0.06</v>
      </c>
      <c r="P30" s="59">
        <v>0.06</v>
      </c>
      <c r="Q30" s="54"/>
      <c r="R30" s="54"/>
      <c r="S30" s="54"/>
      <c r="T30" s="54"/>
      <c r="U30" s="54"/>
      <c r="V30" s="63" t="str">
        <f>IF(MATCH(K42,$B$6:$B$12)&gt;MAX(V$2:$V29),MATCH(K42,$B$6:$B$12),"")</f>
        <v/>
      </c>
      <c r="W30" s="54"/>
    </row>
    <row r="31" spans="1:23" ht="12.75">
      <c r="A31" s="1"/>
      <c r="B31" s="1"/>
      <c r="C31" s="1"/>
      <c r="D31" s="1"/>
      <c r="E31" s="1"/>
      <c r="F31" s="1"/>
      <c r="G31" s="1"/>
      <c r="H31" s="1"/>
      <c r="I31" s="1"/>
      <c r="J31" s="1"/>
      <c r="K31" s="62">
        <f t="shared" si="4"/>
        <v>5.25</v>
      </c>
      <c r="L31" s="61" t="str">
        <f t="shared" si="0"/>
        <v/>
      </c>
      <c r="M31" s="60">
        <f t="shared" si="1"/>
        <v>6.1249999999999999E-2</v>
      </c>
      <c r="N31" s="60">
        <f t="shared" si="2"/>
        <v>6.116734062758885E-2</v>
      </c>
      <c r="O31" s="60">
        <f t="shared" si="3"/>
        <v>6.0964409722222217E-2</v>
      </c>
      <c r="P31" s="59">
        <v>6.1783139023777627E-2</v>
      </c>
      <c r="Q31" s="54"/>
      <c r="R31" s="54"/>
      <c r="S31" s="54"/>
      <c r="T31" s="54"/>
      <c r="U31" s="54"/>
      <c r="V31" s="63" t="str">
        <f>IF(MATCH(K43,$B$6:$B$12)&gt;MAX(V$2:$V30),MATCH(K43,$B$6:$B$12),"")</f>
        <v/>
      </c>
      <c r="W31" s="54"/>
    </row>
    <row r="32" spans="1:23" ht="12.75">
      <c r="A32" s="1"/>
      <c r="B32" s="1"/>
      <c r="C32" s="1"/>
      <c r="D32" s="1"/>
      <c r="E32" s="1"/>
      <c r="F32" s="1"/>
      <c r="G32" s="1"/>
      <c r="H32" s="1"/>
      <c r="I32" s="1"/>
      <c r="J32" s="1"/>
      <c r="K32" s="62">
        <f t="shared" si="4"/>
        <v>5.5</v>
      </c>
      <c r="L32" s="61" t="str">
        <f t="shared" si="0"/>
        <v/>
      </c>
      <c r="M32" s="60">
        <f t="shared" si="1"/>
        <v>6.25E-2</v>
      </c>
      <c r="N32" s="60">
        <f t="shared" si="2"/>
        <v>6.2357392657524706E-2</v>
      </c>
      <c r="O32" s="60">
        <f t="shared" si="3"/>
        <v>6.20625E-2</v>
      </c>
      <c r="P32" s="59">
        <v>6.3387684192900196E-2</v>
      </c>
      <c r="Q32" s="54"/>
      <c r="R32" s="54"/>
      <c r="S32" s="54"/>
      <c r="T32" s="54"/>
      <c r="U32" s="54"/>
      <c r="V32" s="63" t="str">
        <f>IF(MATCH(K44,$B$6:$B$12)&gt;MAX(V$2:$V31),MATCH(K44,$B$6:$B$12),"")</f>
        <v/>
      </c>
      <c r="W32" s="54"/>
    </row>
    <row r="33" spans="1:23" ht="12.75">
      <c r="A33" s="1"/>
      <c r="B33" s="1"/>
      <c r="C33" s="1"/>
      <c r="D33" s="1"/>
      <c r="E33" s="1"/>
      <c r="F33" s="1"/>
      <c r="G33" s="1"/>
      <c r="H33" s="1"/>
      <c r="I33" s="1"/>
      <c r="J33" s="1"/>
      <c r="K33" s="62">
        <f t="shared" si="4"/>
        <v>5.75</v>
      </c>
      <c r="L33" s="61" t="str">
        <f t="shared" si="0"/>
        <v/>
      </c>
      <c r="M33" s="60">
        <f t="shared" si="1"/>
        <v>6.3750000000000001E-2</v>
      </c>
      <c r="N33" s="60">
        <f t="shared" si="2"/>
        <v>6.3570597955518698E-2</v>
      </c>
      <c r="O33" s="60">
        <f t="shared" si="3"/>
        <v>6.3268229166666662E-2</v>
      </c>
      <c r="P33" s="59">
        <v>6.4826769717012719E-2</v>
      </c>
      <c r="Q33" s="54"/>
      <c r="R33" s="54"/>
      <c r="S33" s="54"/>
      <c r="T33" s="54"/>
      <c r="U33" s="54"/>
      <c r="V33" s="63" t="str">
        <f>IF(MATCH(K45,$B$6:$B$12)&gt;MAX(V$2:$V32),MATCH(K45,$B$6:$B$12),"")</f>
        <v/>
      </c>
      <c r="W33" s="54"/>
    </row>
    <row r="34" spans="1:23" ht="12.75">
      <c r="A34" s="1"/>
      <c r="B34" s="1"/>
      <c r="C34" s="1"/>
      <c r="D34" s="1"/>
      <c r="E34" s="1"/>
      <c r="F34" s="1"/>
      <c r="G34" s="1"/>
      <c r="H34" s="1"/>
      <c r="I34" s="1"/>
      <c r="J34" s="1"/>
      <c r="K34" s="62">
        <f t="shared" si="4"/>
        <v>6</v>
      </c>
      <c r="L34" s="61" t="str">
        <f t="shared" si="0"/>
        <v/>
      </c>
      <c r="M34" s="60">
        <f t="shared" si="1"/>
        <v>6.5000000000000002E-2</v>
      </c>
      <c r="N34" s="60">
        <f t="shared" si="2"/>
        <v>6.4807406984078608E-2</v>
      </c>
      <c r="O34" s="60">
        <f t="shared" si="3"/>
        <v>6.455555555555556E-2</v>
      </c>
      <c r="P34" s="59">
        <v>6.6113529805760227E-2</v>
      </c>
      <c r="Q34" s="54"/>
      <c r="R34" s="54"/>
      <c r="S34" s="54"/>
      <c r="T34" s="54"/>
      <c r="U34" s="54"/>
      <c r="V34" s="63" t="str">
        <f>IF(MATCH(K46,$B$6:$B$12)&gt;MAX(V$2:$V33),MATCH(K46,$B$6:$B$12),"")</f>
        <v/>
      </c>
      <c r="W34" s="54"/>
    </row>
    <row r="35" spans="1:23" ht="12.75">
      <c r="A35" s="1"/>
      <c r="B35" s="1"/>
      <c r="C35" s="1"/>
      <c r="D35" s="1"/>
      <c r="E35" s="1"/>
      <c r="F35" s="1"/>
      <c r="G35" s="1"/>
      <c r="H35" s="1"/>
      <c r="I35" s="1"/>
      <c r="J35" s="1"/>
      <c r="K35" s="62">
        <f t="shared" si="4"/>
        <v>6.25</v>
      </c>
      <c r="L35" s="61" t="str">
        <f t="shared" si="0"/>
        <v/>
      </c>
      <c r="M35" s="60">
        <f t="shared" si="1"/>
        <v>6.6250000000000003E-2</v>
      </c>
      <c r="N35" s="60">
        <f t="shared" si="2"/>
        <v>6.606827896976529E-2</v>
      </c>
      <c r="O35" s="60">
        <f t="shared" si="3"/>
        <v>6.5898437500000004E-2</v>
      </c>
      <c r="P35" s="59">
        <v>6.7261098668787683E-2</v>
      </c>
      <c r="Q35" s="54"/>
      <c r="R35" s="54"/>
      <c r="S35" s="54"/>
      <c r="T35" s="54"/>
      <c r="U35" s="54"/>
      <c r="V35" s="63" t="str">
        <f>IF(MATCH(K47,$B$6:$B$12)&gt;MAX(V$2:$V34),MATCH(K47,$B$6:$B$12),"")</f>
        <v/>
      </c>
      <c r="W35" s="54"/>
    </row>
    <row r="36" spans="1:23" ht="12.75">
      <c r="A36" s="1"/>
      <c r="B36" s="1"/>
      <c r="C36" s="1"/>
      <c r="D36" s="1"/>
      <c r="E36" s="1"/>
      <c r="F36" s="1"/>
      <c r="G36" s="1"/>
      <c r="H36" s="1"/>
      <c r="I36" s="1"/>
      <c r="J36" s="1"/>
      <c r="K36" s="62">
        <f t="shared" si="4"/>
        <v>6.5</v>
      </c>
      <c r="L36" s="61" t="str">
        <f t="shared" si="0"/>
        <v/>
      </c>
      <c r="M36" s="60">
        <f t="shared" si="1"/>
        <v>6.7500000000000004E-2</v>
      </c>
      <c r="N36" s="60">
        <f t="shared" si="2"/>
        <v>6.7353682073703305E-2</v>
      </c>
      <c r="O36" s="60">
        <f t="shared" si="3"/>
        <v>6.7270833333333335E-2</v>
      </c>
      <c r="P36" s="59">
        <v>6.8282610515740139E-2</v>
      </c>
      <c r="Q36" s="54"/>
      <c r="R36" s="54"/>
      <c r="S36" s="54"/>
      <c r="T36" s="54"/>
      <c r="U36" s="54"/>
      <c r="V36" s="63" t="str">
        <f>IF(MATCH(K48,$B$6:$B$12)&gt;MAX(V$2:$V35),MATCH(K48,$B$6:$B$12),"")</f>
        <v/>
      </c>
      <c r="W36" s="54"/>
    </row>
    <row r="37" spans="1:23" ht="12.75">
      <c r="A37" s="1"/>
      <c r="B37" s="1"/>
      <c r="C37" s="1"/>
      <c r="D37" s="1"/>
      <c r="E37" s="1"/>
      <c r="F37" s="1"/>
      <c r="G37" s="1"/>
      <c r="H37" s="1"/>
      <c r="I37" s="1"/>
      <c r="J37" s="1"/>
      <c r="K37" s="62">
        <f t="shared" si="4"/>
        <v>6.75</v>
      </c>
      <c r="L37" s="61" t="str">
        <f t="shared" si="0"/>
        <v/>
      </c>
      <c r="M37" s="60">
        <f t="shared" si="1"/>
        <v>6.8750000000000006E-2</v>
      </c>
      <c r="N37" s="60">
        <f t="shared" si="2"/>
        <v>6.8664093565408924E-2</v>
      </c>
      <c r="O37" s="60">
        <f t="shared" si="3"/>
        <v>6.8646701388888884E-2</v>
      </c>
      <c r="P37" s="59">
        <v>6.9191199556262573E-2</v>
      </c>
      <c r="Q37" s="54"/>
      <c r="R37" s="54"/>
      <c r="S37" s="54"/>
      <c r="T37" s="54"/>
      <c r="U37" s="54"/>
      <c r="V37" s="63" t="str">
        <f>IF(MATCH(K49,$B$6:$B$12)&gt;MAX(V$2:$V36),MATCH(K49,$B$6:$B$12),"")</f>
        <v/>
      </c>
      <c r="W37" s="54"/>
    </row>
    <row r="38" spans="1:23" ht="12.75">
      <c r="A38" s="1"/>
      <c r="B38" s="1"/>
      <c r="C38" s="1"/>
      <c r="D38" s="1"/>
      <c r="E38" s="1"/>
      <c r="F38" s="1"/>
      <c r="G38" s="1"/>
      <c r="H38" s="1"/>
      <c r="I38" s="1"/>
      <c r="J38" s="1"/>
      <c r="K38" s="62">
        <f t="shared" si="4"/>
        <v>7</v>
      </c>
      <c r="L38" s="61">
        <f t="shared" si="0"/>
        <v>7.0000000000000007E-2</v>
      </c>
      <c r="M38" s="60">
        <f t="shared" si="1"/>
        <v>7.0000000000000007E-2</v>
      </c>
      <c r="N38" s="60">
        <f t="shared" si="2"/>
        <v>7.0000000000000007E-2</v>
      </c>
      <c r="O38" s="60">
        <f t="shared" si="3"/>
        <v>7.0000000000000007E-2</v>
      </c>
      <c r="P38" s="59">
        <v>7.0000000000000007E-2</v>
      </c>
      <c r="Q38" s="54"/>
      <c r="R38" s="54"/>
      <c r="S38" s="54"/>
      <c r="T38" s="54"/>
      <c r="U38" s="54"/>
      <c r="V38" s="63">
        <f>IF(MATCH(K50,$B$6:$B$12)&gt;MAX(V$2:$V37),MATCH(K50,$B$6:$B$12),"")</f>
        <v>7</v>
      </c>
      <c r="W38" s="54"/>
    </row>
    <row r="39" spans="1:23" ht="12.75">
      <c r="A39" s="1"/>
      <c r="B39" s="1"/>
      <c r="C39" s="1"/>
      <c r="D39" s="1"/>
      <c r="E39" s="1"/>
      <c r="F39" s="1"/>
      <c r="G39" s="1"/>
      <c r="H39" s="1"/>
      <c r="I39" s="1"/>
      <c r="J39" s="1"/>
      <c r="K39" s="62">
        <f t="shared" si="4"/>
        <v>7.25</v>
      </c>
      <c r="L39" s="61" t="str">
        <f t="shared" si="0"/>
        <v/>
      </c>
      <c r="M39" s="60">
        <f t="shared" si="1"/>
        <v>7.0416666666666669E-2</v>
      </c>
      <c r="N39" s="60">
        <f t="shared" si="2"/>
        <v>7.0403617585863359E-2</v>
      </c>
      <c r="O39" s="60">
        <f t="shared" si="3"/>
        <v>7.1304687500000019E-2</v>
      </c>
      <c r="P39" s="59">
        <v>7.0721160554811355E-2</v>
      </c>
      <c r="Q39" s="54"/>
      <c r="R39" s="54"/>
      <c r="S39" s="54"/>
      <c r="T39" s="54"/>
      <c r="U39" s="54"/>
      <c r="V39" s="63"/>
      <c r="W39" s="54"/>
    </row>
    <row r="40" spans="1:23" ht="12.75">
      <c r="A40" s="1"/>
      <c r="B40" s="1"/>
      <c r="C40" s="1"/>
      <c r="D40" s="1"/>
      <c r="E40" s="1"/>
      <c r="F40" s="1"/>
      <c r="G40" s="1"/>
      <c r="H40" s="1"/>
      <c r="I40" s="1"/>
      <c r="J40" s="1"/>
      <c r="K40" s="62">
        <f t="shared" si="4"/>
        <v>7.5</v>
      </c>
      <c r="L40" s="61" t="str">
        <f t="shared" si="0"/>
        <v/>
      </c>
      <c r="M40" s="60">
        <f t="shared" si="1"/>
        <v>7.0833333333333331E-2</v>
      </c>
      <c r="N40" s="60">
        <f t="shared" si="2"/>
        <v>7.0809562416806998E-2</v>
      </c>
      <c r="O40" s="60">
        <f t="shared" si="3"/>
        <v>7.253472222222225E-2</v>
      </c>
      <c r="P40" s="59">
        <v>7.1362887921411045E-2</v>
      </c>
      <c r="Q40" s="54"/>
      <c r="R40" s="54"/>
      <c r="S40" s="54"/>
      <c r="T40" s="54"/>
      <c r="U40" s="54"/>
      <c r="V40" s="54"/>
      <c r="W40" s="54"/>
    </row>
    <row r="41" spans="1:23" ht="12.75">
      <c r="A41" s="1"/>
      <c r="B41" s="1"/>
      <c r="C41" s="1"/>
      <c r="D41" s="1"/>
      <c r="E41" s="1"/>
      <c r="F41" s="1"/>
      <c r="G41" s="1"/>
      <c r="H41" s="1"/>
      <c r="I41" s="1"/>
      <c r="J41" s="1"/>
      <c r="K41" s="62">
        <f t="shared" si="4"/>
        <v>7.75</v>
      </c>
      <c r="L41" s="61" t="str">
        <f t="shared" si="0"/>
        <v/>
      </c>
      <c r="M41" s="60">
        <f t="shared" si="1"/>
        <v>7.1250000000000008E-2</v>
      </c>
      <c r="N41" s="60">
        <f t="shared" si="2"/>
        <v>7.1217847911645746E-2</v>
      </c>
      <c r="O41" s="60">
        <f t="shared" si="3"/>
        <v>7.3664062500000002E-2</v>
      </c>
      <c r="P41" s="59">
        <v>7.1932403298727396E-2</v>
      </c>
      <c r="Q41" s="54"/>
      <c r="R41" s="54"/>
      <c r="S41" s="54"/>
      <c r="T41" s="54"/>
      <c r="U41" s="54"/>
      <c r="V41" s="54"/>
      <c r="W41" s="54"/>
    </row>
    <row r="42" spans="1:23" ht="12.75">
      <c r="A42" s="1"/>
      <c r="B42" s="1"/>
      <c r="C42" s="1"/>
      <c r="D42" s="1"/>
      <c r="E42" s="1"/>
      <c r="F42" s="1"/>
      <c r="G42" s="1"/>
      <c r="H42" s="1"/>
      <c r="I42" s="1"/>
      <c r="J42" s="1"/>
      <c r="K42" s="62">
        <f t="shared" si="4"/>
        <v>8</v>
      </c>
      <c r="L42" s="61" t="str">
        <f t="shared" si="0"/>
        <v/>
      </c>
      <c r="M42" s="60">
        <f t="shared" si="1"/>
        <v>7.166666666666667E-2</v>
      </c>
      <c r="N42" s="60">
        <f t="shared" si="2"/>
        <v>7.1628487566566923E-2</v>
      </c>
      <c r="O42" s="60">
        <f t="shared" si="3"/>
        <v>7.4666666666666673E-2</v>
      </c>
      <c r="P42" s="59">
        <v>7.2436927885688771E-2</v>
      </c>
      <c r="Q42" s="54"/>
      <c r="R42" s="54"/>
      <c r="S42" s="54"/>
      <c r="T42" s="54"/>
      <c r="U42" s="54"/>
      <c r="V42" s="54"/>
      <c r="W42" s="54"/>
    </row>
    <row r="43" spans="1:23" ht="12.75">
      <c r="A43" s="1"/>
      <c r="B43" s="1"/>
      <c r="C43" s="1"/>
      <c r="D43" s="1"/>
      <c r="E43" s="1"/>
      <c r="F43" s="1"/>
      <c r="G43" s="1"/>
      <c r="H43" s="1"/>
      <c r="I43" s="1"/>
      <c r="J43" s="1"/>
      <c r="K43" s="62">
        <f t="shared" si="4"/>
        <v>8.25</v>
      </c>
      <c r="L43" s="61" t="str">
        <f t="shared" si="0"/>
        <v/>
      </c>
      <c r="M43" s="60">
        <f t="shared" si="1"/>
        <v>7.2083333333333333E-2</v>
      </c>
      <c r="N43" s="60">
        <f t="shared" si="2"/>
        <v>7.2041494955576379E-2</v>
      </c>
      <c r="O43" s="60">
        <f t="shared" si="3"/>
        <v>7.5516493055555592E-2</v>
      </c>
      <c r="P43" s="59">
        <v>7.2883682881223488E-2</v>
      </c>
      <c r="Q43" s="54"/>
      <c r="R43" s="54"/>
      <c r="S43" s="54"/>
      <c r="T43" s="54"/>
      <c r="U43" s="54"/>
      <c r="V43" s="54"/>
      <c r="W43" s="54"/>
    </row>
    <row r="44" spans="1:23" ht="12.75">
      <c r="A44" s="1"/>
      <c r="B44" s="1"/>
      <c r="C44" s="1"/>
      <c r="D44" s="1"/>
      <c r="E44" s="1"/>
      <c r="F44" s="1"/>
      <c r="G44" s="1"/>
      <c r="H44" s="1"/>
      <c r="I44" s="1"/>
      <c r="J44" s="1"/>
      <c r="K44" s="62">
        <f t="shared" si="4"/>
        <v>8.5</v>
      </c>
      <c r="L44" s="61" t="str">
        <f t="shared" si="0"/>
        <v/>
      </c>
      <c r="M44" s="60">
        <f t="shared" si="1"/>
        <v>7.2500000000000009E-2</v>
      </c>
      <c r="N44" s="60">
        <f t="shared" si="2"/>
        <v>7.2456883730947205E-2</v>
      </c>
      <c r="O44" s="60">
        <f t="shared" si="3"/>
        <v>7.6187500000000019E-2</v>
      </c>
      <c r="P44" s="59">
        <v>7.3279889484259897E-2</v>
      </c>
      <c r="Q44" s="54"/>
      <c r="R44" s="54"/>
      <c r="S44" s="54"/>
      <c r="T44" s="54"/>
      <c r="U44" s="54"/>
      <c r="V44" s="54"/>
      <c r="W44" s="54"/>
    </row>
    <row r="45" spans="1:23" ht="12.75">
      <c r="A45" s="1"/>
      <c r="B45" s="1"/>
      <c r="C45" s="1"/>
      <c r="D45" s="1"/>
      <c r="E45" s="1"/>
      <c r="F45" s="1"/>
      <c r="G45" s="1"/>
      <c r="H45" s="1"/>
      <c r="I45" s="1"/>
      <c r="J45" s="1"/>
      <c r="K45" s="62">
        <f t="shared" si="4"/>
        <v>8.75</v>
      </c>
      <c r="L45" s="61" t="str">
        <f t="shared" si="0"/>
        <v/>
      </c>
      <c r="M45" s="60">
        <f t="shared" si="1"/>
        <v>7.2916666666666671E-2</v>
      </c>
      <c r="N45" s="60">
        <f t="shared" si="2"/>
        <v>7.2874667623671008E-2</v>
      </c>
      <c r="O45" s="60">
        <f t="shared" si="3"/>
        <v>7.6653645833333367E-2</v>
      </c>
      <c r="P45" s="59">
        <v>7.3632768893726289E-2</v>
      </c>
      <c r="Q45" s="54"/>
      <c r="R45" s="54"/>
      <c r="S45" s="54"/>
      <c r="T45" s="54"/>
      <c r="U45" s="54"/>
      <c r="V45" s="54"/>
      <c r="W45" s="54"/>
    </row>
    <row r="46" spans="1:23" ht="12.75">
      <c r="A46" s="1"/>
      <c r="B46" s="1"/>
      <c r="C46" s="1"/>
      <c r="D46" s="1"/>
      <c r="E46" s="1"/>
      <c r="F46" s="1"/>
      <c r="G46" s="1"/>
      <c r="H46" s="1"/>
      <c r="I46" s="1"/>
      <c r="J46" s="1"/>
      <c r="K46" s="62">
        <f t="shared" si="4"/>
        <v>9</v>
      </c>
      <c r="L46" s="61" t="str">
        <f t="shared" si="0"/>
        <v/>
      </c>
      <c r="M46" s="60">
        <f t="shared" si="1"/>
        <v>7.3333333333333334E-2</v>
      </c>
      <c r="N46" s="60">
        <f t="shared" si="2"/>
        <v>7.3294860443911897E-2</v>
      </c>
      <c r="O46" s="60">
        <f t="shared" si="3"/>
        <v>7.6888888888888896E-2</v>
      </c>
      <c r="P46" s="59">
        <v>7.3949542308551025E-2</v>
      </c>
      <c r="Q46" s="54"/>
      <c r="R46" s="54"/>
      <c r="S46" s="54"/>
      <c r="T46" s="54"/>
      <c r="U46" s="54"/>
      <c r="V46" s="54"/>
      <c r="W46" s="54"/>
    </row>
    <row r="47" spans="1:23" ht="12.75">
      <c r="A47" s="1"/>
      <c r="B47" s="1"/>
      <c r="C47" s="6"/>
      <c r="D47" s="1"/>
      <c r="E47" s="1"/>
      <c r="F47" s="1"/>
      <c r="G47" s="1"/>
      <c r="H47" s="1"/>
      <c r="I47" s="1"/>
      <c r="J47" s="1"/>
      <c r="K47" s="62">
        <f t="shared" si="4"/>
        <v>9.25</v>
      </c>
      <c r="L47" s="61" t="str">
        <f t="shared" si="0"/>
        <v/>
      </c>
      <c r="M47" s="60">
        <f t="shared" si="1"/>
        <v>7.3749999999999996E-2</v>
      </c>
      <c r="N47" s="60">
        <f t="shared" si="2"/>
        <v>7.3717476081462799E-2</v>
      </c>
      <c r="O47" s="60">
        <f t="shared" si="3"/>
        <v>7.6867187500000003E-2</v>
      </c>
      <c r="P47" s="59">
        <v>7.423743092766244E-2</v>
      </c>
      <c r="Q47" s="54"/>
      <c r="R47" s="54"/>
      <c r="S47" s="54"/>
      <c r="T47" s="54"/>
      <c r="U47" s="54"/>
      <c r="V47" s="54"/>
      <c r="W47" s="54"/>
    </row>
    <row r="48" spans="1:23" ht="12.75">
      <c r="A48" s="1"/>
      <c r="B48" s="1"/>
      <c r="C48" s="6"/>
      <c r="D48" s="1"/>
      <c r="E48" s="1"/>
      <c r="F48" s="1"/>
      <c r="G48" s="1"/>
      <c r="H48" s="1"/>
      <c r="I48" s="1"/>
      <c r="J48" s="1"/>
      <c r="K48" s="62">
        <f t="shared" si="4"/>
        <v>9.5</v>
      </c>
      <c r="L48" s="61" t="str">
        <f t="shared" si="0"/>
        <v/>
      </c>
      <c r="M48" s="60">
        <f t="shared" si="1"/>
        <v>7.4166666666666659E-2</v>
      </c>
      <c r="N48" s="60">
        <f t="shared" si="2"/>
        <v>7.41425285062048E-2</v>
      </c>
      <c r="O48" s="60">
        <f t="shared" si="3"/>
        <v>7.6562500000000006E-2</v>
      </c>
      <c r="P48" s="59">
        <v>7.450365594998884E-2</v>
      </c>
      <c r="Q48" s="54"/>
      <c r="R48" s="54"/>
      <c r="S48" s="54"/>
      <c r="T48" s="54"/>
      <c r="U48" s="54"/>
      <c r="V48" s="54"/>
      <c r="W48" s="54"/>
    </row>
    <row r="49" spans="1:23" ht="12.75">
      <c r="A49" s="1"/>
      <c r="B49" s="1"/>
      <c r="C49" s="6"/>
      <c r="D49" s="1"/>
      <c r="E49" s="1"/>
      <c r="F49" s="1"/>
      <c r="G49" s="1"/>
      <c r="H49" s="1"/>
      <c r="I49" s="1"/>
      <c r="J49" s="1"/>
      <c r="K49" s="62">
        <f t="shared" si="4"/>
        <v>9.75</v>
      </c>
      <c r="L49" s="61" t="str">
        <f t="shared" si="0"/>
        <v/>
      </c>
      <c r="M49" s="60">
        <f t="shared" si="1"/>
        <v>7.4583333333333335E-2</v>
      </c>
      <c r="N49" s="60">
        <f t="shared" si="2"/>
        <v>7.4570031768568801E-2</v>
      </c>
      <c r="O49" s="60">
        <f t="shared" si="3"/>
        <v>7.5948784722222232E-2</v>
      </c>
      <c r="P49" s="59">
        <v>7.4755438574458585E-2</v>
      </c>
      <c r="Q49" s="54"/>
      <c r="R49" s="54"/>
      <c r="S49" s="54"/>
      <c r="T49" s="54"/>
      <c r="U49" s="54"/>
      <c r="V49" s="54"/>
      <c r="W49" s="54"/>
    </row>
    <row r="50" spans="1:23" ht="13.5" thickBot="1">
      <c r="A50" s="1"/>
      <c r="B50" s="1"/>
      <c r="C50" s="6"/>
      <c r="D50" s="1"/>
      <c r="E50" s="1"/>
      <c r="F50" s="1"/>
      <c r="G50" s="1"/>
      <c r="H50" s="1"/>
      <c r="I50" s="1"/>
      <c r="J50" s="1"/>
      <c r="K50" s="58">
        <f>B12</f>
        <v>10</v>
      </c>
      <c r="L50" s="57">
        <f>C12</f>
        <v>7.4999999999999997E-2</v>
      </c>
      <c r="M50" s="56">
        <f>L50</f>
        <v>7.4999999999999997E-2</v>
      </c>
      <c r="N50" s="56">
        <f>M50</f>
        <v>7.4999999999999997E-2</v>
      </c>
      <c r="O50" s="56">
        <f>N50</f>
        <v>7.4999999999999997E-2</v>
      </c>
      <c r="P50" s="55">
        <v>7.4999999999999997E-2</v>
      </c>
      <c r="Q50" s="54"/>
      <c r="R50" s="54"/>
      <c r="S50" s="54"/>
      <c r="T50" s="54"/>
      <c r="U50" s="54"/>
      <c r="V50" s="54"/>
      <c r="W50" s="54"/>
    </row>
    <row r="51" spans="1:23" ht="12.75">
      <c r="A51" s="1"/>
      <c r="B51" s="1"/>
      <c r="C51" s="6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54"/>
      <c r="R51" s="54"/>
      <c r="S51" s="54"/>
      <c r="T51" s="54"/>
      <c r="U51" s="54"/>
      <c r="V51" s="54"/>
      <c r="W51" s="54"/>
    </row>
    <row r="52" spans="1:23" ht="12.75">
      <c r="A52" s="1"/>
      <c r="B52" s="1"/>
      <c r="C52" s="6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54"/>
      <c r="R52" s="54"/>
      <c r="S52" s="54"/>
      <c r="T52" s="54"/>
      <c r="U52" s="54"/>
      <c r="V52" s="54"/>
      <c r="W52" s="54"/>
    </row>
    <row r="53" spans="1:23" ht="12.75">
      <c r="A53" s="1"/>
      <c r="B53" s="1"/>
      <c r="C53" s="6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54"/>
      <c r="R53" s="54"/>
      <c r="S53" s="54"/>
      <c r="T53" s="54"/>
      <c r="U53" s="54"/>
      <c r="V53" s="54"/>
      <c r="W53" s="54"/>
    </row>
    <row r="54" spans="1:23" ht="12.75">
      <c r="A54" s="1"/>
      <c r="B54" s="1"/>
      <c r="C54" s="6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54"/>
      <c r="R54" s="54"/>
      <c r="S54" s="54"/>
      <c r="T54" s="54"/>
      <c r="U54" s="54"/>
      <c r="V54" s="54"/>
      <c r="W54" s="54"/>
    </row>
    <row r="55" spans="1:23" ht="12.75">
      <c r="A55" s="1"/>
      <c r="B55" s="1"/>
      <c r="C55" s="6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54"/>
      <c r="R55" s="54"/>
      <c r="S55" s="54"/>
      <c r="T55" s="54"/>
      <c r="U55" s="54"/>
      <c r="V55" s="54"/>
      <c r="W55" s="54"/>
    </row>
    <row r="56" spans="1:23" ht="12.75">
      <c r="A56" s="1"/>
      <c r="B56" s="1"/>
      <c r="C56" s="6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54"/>
      <c r="R56" s="54"/>
      <c r="S56" s="54"/>
      <c r="T56" s="54"/>
      <c r="U56" s="54"/>
      <c r="V56" s="54"/>
      <c r="W56" s="54"/>
    </row>
    <row r="57" spans="1:23" ht="12.75">
      <c r="A57" s="1"/>
      <c r="B57" s="1"/>
      <c r="C57" s="6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54"/>
      <c r="R57" s="54"/>
      <c r="S57" s="54"/>
      <c r="T57" s="54"/>
      <c r="U57" s="54"/>
      <c r="V57" s="54"/>
      <c r="W57" s="54"/>
    </row>
    <row r="58" spans="1:23" ht="12.75">
      <c r="A58" s="1"/>
      <c r="B58" s="1"/>
      <c r="C58" s="6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54"/>
      <c r="R58" s="54"/>
      <c r="S58" s="54"/>
      <c r="T58" s="54"/>
      <c r="U58" s="54"/>
      <c r="V58" s="54"/>
      <c r="W58" s="54"/>
    </row>
    <row r="59" spans="1:23" ht="12.75">
      <c r="A59" s="1"/>
      <c r="B59" s="1"/>
      <c r="C59" s="6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54"/>
      <c r="R59" s="54"/>
      <c r="S59" s="54"/>
      <c r="T59" s="54"/>
      <c r="U59" s="54"/>
      <c r="V59" s="54"/>
      <c r="W59" s="54"/>
    </row>
    <row r="60" spans="1:23" ht="12.75">
      <c r="A60" s="1"/>
      <c r="B60" s="1"/>
      <c r="C60" s="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54"/>
      <c r="R60" s="54"/>
      <c r="S60" s="54"/>
      <c r="T60" s="54"/>
      <c r="U60" s="54"/>
      <c r="V60" s="54"/>
      <c r="W60" s="54"/>
    </row>
    <row r="61" spans="1:23" ht="12.75">
      <c r="A61" s="1"/>
      <c r="S61" s="54"/>
      <c r="T61" s="54"/>
      <c r="U61" s="54"/>
      <c r="V61" s="54"/>
      <c r="W61" s="54"/>
    </row>
    <row r="62" spans="1:23" ht="12.75">
      <c r="A62" s="1"/>
      <c r="S62" s="54"/>
      <c r="T62" s="54"/>
      <c r="U62" s="54"/>
      <c r="V62" s="54"/>
      <c r="W62" s="54"/>
    </row>
    <row r="63" spans="1:23" ht="12.75">
      <c r="A63" s="1"/>
      <c r="S63" s="54"/>
      <c r="T63" s="54"/>
      <c r="U63" s="54"/>
      <c r="V63" s="54"/>
      <c r="W63" s="54"/>
    </row>
    <row r="64" spans="1:23" ht="12.75">
      <c r="A64" s="1"/>
      <c r="S64" s="54"/>
      <c r="T64" s="54"/>
      <c r="U64" s="54"/>
      <c r="V64" s="54"/>
      <c r="W64" s="54"/>
    </row>
    <row r="65" spans="1:23" ht="12.75">
      <c r="A65" s="1"/>
      <c r="B65" s="1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54"/>
      <c r="R65" s="54"/>
      <c r="S65" s="54"/>
      <c r="T65" s="54"/>
      <c r="U65" s="54"/>
      <c r="V65" s="54"/>
      <c r="W65" s="54"/>
    </row>
    <row r="66" spans="1:23" ht="12.75">
      <c r="A66" s="1"/>
      <c r="B66" s="1"/>
      <c r="C66" s="6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54"/>
      <c r="R66" s="54"/>
      <c r="S66" s="54"/>
      <c r="T66" s="54"/>
      <c r="U66" s="54"/>
      <c r="V66" s="54"/>
      <c r="W66" s="54"/>
    </row>
    <row r="67" spans="1:23" ht="12.75">
      <c r="A67" s="1"/>
      <c r="B67" s="1"/>
      <c r="C67" s="6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54"/>
      <c r="R67" s="54"/>
      <c r="S67" s="54"/>
      <c r="T67" s="54"/>
      <c r="U67" s="54"/>
      <c r="V67" s="54"/>
      <c r="W67" s="54"/>
    </row>
    <row r="68" spans="1:23" ht="12.75">
      <c r="A68" s="1"/>
      <c r="B68" s="1"/>
      <c r="C68" s="6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54"/>
      <c r="R68" s="54"/>
      <c r="S68" s="54"/>
      <c r="T68" s="54"/>
      <c r="U68" s="54"/>
      <c r="V68" s="54"/>
      <c r="W68" s="54"/>
    </row>
    <row r="69" spans="1:23" ht="12.75">
      <c r="A69" s="1"/>
      <c r="B69" s="1"/>
      <c r="C69" s="6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54"/>
      <c r="R69" s="54"/>
      <c r="S69" s="54"/>
      <c r="T69" s="54"/>
      <c r="U69" s="54"/>
      <c r="V69" s="54"/>
      <c r="W69" s="54"/>
    </row>
    <row r="70" spans="1:23" ht="12.75">
      <c r="A70" s="1"/>
      <c r="B70" s="1"/>
      <c r="C70" s="6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54"/>
      <c r="R70" s="54"/>
      <c r="S70" s="54"/>
      <c r="T70" s="54"/>
      <c r="U70" s="54"/>
      <c r="V70" s="54"/>
      <c r="W70" s="54"/>
    </row>
    <row r="71" spans="1:23" ht="12.75">
      <c r="A71" s="1"/>
      <c r="B71" s="1"/>
      <c r="C71" s="6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54"/>
      <c r="R71" s="54"/>
      <c r="S71" s="54"/>
      <c r="T71" s="54"/>
      <c r="U71" s="54"/>
      <c r="V71" s="54"/>
      <c r="W71" s="54"/>
    </row>
    <row r="72" spans="1:23" ht="12.75">
      <c r="A72" s="1"/>
      <c r="B72" s="1"/>
      <c r="C72" s="6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54"/>
      <c r="R72" s="54"/>
      <c r="S72" s="54"/>
      <c r="T72" s="54"/>
      <c r="U72" s="54"/>
      <c r="V72" s="54"/>
      <c r="W72" s="54"/>
    </row>
    <row r="73" spans="1:23" ht="12.75">
      <c r="A73" s="1"/>
      <c r="B73" s="1"/>
      <c r="C73" s="6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54"/>
      <c r="R73" s="54"/>
      <c r="S73" s="54"/>
      <c r="T73" s="54"/>
      <c r="U73" s="54"/>
      <c r="V73" s="54"/>
      <c r="W73" s="54"/>
    </row>
    <row r="74" spans="1:23" ht="12.75">
      <c r="A74" s="1"/>
      <c r="B74" s="1"/>
      <c r="C74" s="6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54"/>
      <c r="R74" s="54"/>
      <c r="S74" s="54"/>
      <c r="T74" s="54"/>
      <c r="U74" s="54"/>
      <c r="V74" s="54"/>
      <c r="W74" s="54"/>
    </row>
    <row r="75" spans="1:23" ht="12.75">
      <c r="A75" s="1"/>
      <c r="B75" s="1"/>
      <c r="C75" s="6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54"/>
      <c r="R75" s="54"/>
      <c r="S75" s="54"/>
      <c r="T75" s="54"/>
      <c r="U75" s="54"/>
      <c r="V75" s="54"/>
      <c r="W75" s="54"/>
    </row>
  </sheetData>
  <phoneticPr fontId="9"/>
  <pageMargins left="0.75" right="0.75" top="1" bottom="1" header="0.5" footer="0.5"/>
  <pageSetup paperSize="0" orientation="portrait" horizontalDpi="4294967292" verticalDpi="4294967292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121"/>
  <sheetViews>
    <sheetView showGridLines="0" tabSelected="1" workbookViewId="0">
      <selection activeCell="D7" sqref="D7"/>
    </sheetView>
  </sheetViews>
  <sheetFormatPr defaultColWidth="10.85546875" defaultRowHeight="12"/>
  <cols>
    <col min="1" max="1" width="5.42578125" style="1" customWidth="1"/>
    <col min="2" max="2" width="19.28515625" style="1" customWidth="1"/>
    <col min="3" max="6" width="10.85546875" style="1"/>
    <col min="7" max="7" width="11.28515625" style="1" customWidth="1"/>
    <col min="8" max="19" width="10.85546875" style="1"/>
    <col min="20" max="43" width="10.85546875" style="13"/>
    <col min="44" max="16384" width="10.85546875" style="1"/>
  </cols>
  <sheetData>
    <row r="1" spans="1:35" ht="18">
      <c r="B1" s="40" t="s">
        <v>5</v>
      </c>
      <c r="C1" s="2"/>
      <c r="S1" s="11"/>
    </row>
    <row r="2" spans="1:35" ht="12.75">
      <c r="B2" s="94"/>
      <c r="S2" s="11"/>
    </row>
    <row r="3" spans="1:35" ht="12.75">
      <c r="B3" s="94"/>
      <c r="S3" s="11"/>
    </row>
    <row r="4" spans="1:35" ht="15.75">
      <c r="D4" s="96" t="s">
        <v>2</v>
      </c>
      <c r="K4"/>
      <c r="L4"/>
      <c r="S4" s="11"/>
      <c r="Z4" s="15"/>
      <c r="AA4" s="15"/>
      <c r="AB4" s="15"/>
      <c r="AC4" s="15"/>
      <c r="AD4" s="15"/>
      <c r="AE4" s="15"/>
      <c r="AF4" s="15"/>
      <c r="AG4" s="15"/>
      <c r="AH4" s="15"/>
      <c r="AI4" s="15"/>
    </row>
    <row r="5" spans="1:35">
      <c r="F5" s="3"/>
      <c r="G5"/>
      <c r="K5"/>
      <c r="L5"/>
      <c r="S5" s="11"/>
      <c r="Z5" s="15"/>
      <c r="AA5" s="15">
        <v>0</v>
      </c>
      <c r="AB5" s="15">
        <f>D7</f>
        <v>70</v>
      </c>
      <c r="AC5" s="15">
        <f>E7</f>
        <v>80</v>
      </c>
      <c r="AD5" s="15">
        <f>F7</f>
        <v>90</v>
      </c>
      <c r="AE5" s="15">
        <f>H7</f>
        <v>110</v>
      </c>
      <c r="AF5" s="15">
        <f>I7</f>
        <v>120</v>
      </c>
      <c r="AG5" s="15">
        <f>J7</f>
        <v>130</v>
      </c>
      <c r="AH5" s="15">
        <f>AG5*20</f>
        <v>2600</v>
      </c>
      <c r="AI5" s="15"/>
    </row>
    <row r="6" spans="1:35">
      <c r="C6" s="9" t="s">
        <v>0</v>
      </c>
      <c r="D6" s="38" t="s">
        <v>30</v>
      </c>
      <c r="E6" s="10"/>
      <c r="F6" s="10"/>
      <c r="G6" s="10"/>
      <c r="H6" s="10"/>
      <c r="I6" s="10"/>
      <c r="J6" s="10"/>
      <c r="K6"/>
      <c r="L6"/>
      <c r="S6" s="11"/>
      <c r="Z6" s="15">
        <v>0</v>
      </c>
      <c r="AA6" s="16">
        <f t="shared" ref="AA6:AG6" si="0">AA7</f>
        <v>0.22</v>
      </c>
      <c r="AB6" s="16">
        <f t="shared" si="0"/>
        <v>0.22</v>
      </c>
      <c r="AC6" s="16">
        <f t="shared" si="0"/>
        <v>0.2</v>
      </c>
      <c r="AD6" s="16">
        <f t="shared" si="0"/>
        <v>0.18000000000000002</v>
      </c>
      <c r="AE6" s="16">
        <f t="shared" si="0"/>
        <v>0.16000000000000003</v>
      </c>
      <c r="AF6" s="16">
        <f t="shared" si="0"/>
        <v>0.17500000000000004</v>
      </c>
      <c r="AG6" s="16">
        <f t="shared" si="0"/>
        <v>0.19000000000000006</v>
      </c>
      <c r="AH6" s="16">
        <f t="shared" ref="AH6:AH11" si="1">AG6</f>
        <v>0.19000000000000006</v>
      </c>
      <c r="AI6" s="15"/>
    </row>
    <row r="7" spans="1:35" ht="12.75" thickBot="1">
      <c r="C7" s="9" t="s">
        <v>1</v>
      </c>
      <c r="D7" s="32">
        <v>70</v>
      </c>
      <c r="E7" s="32">
        <v>80</v>
      </c>
      <c r="F7" s="32">
        <v>90</v>
      </c>
      <c r="G7" s="32">
        <v>100</v>
      </c>
      <c r="H7" s="32">
        <v>110</v>
      </c>
      <c r="I7" s="32">
        <v>120</v>
      </c>
      <c r="J7" s="32">
        <v>130</v>
      </c>
      <c r="K7"/>
      <c r="L7"/>
      <c r="S7" s="11"/>
      <c r="Z7" s="17">
        <f>C8/12</f>
        <v>2.5</v>
      </c>
      <c r="AA7" s="16">
        <f>AB7</f>
        <v>0.22</v>
      </c>
      <c r="AB7" s="16">
        <f t="shared" ref="AB7:AG11" si="2">D8</f>
        <v>0.22</v>
      </c>
      <c r="AC7" s="16">
        <f t="shared" si="2"/>
        <v>0.2</v>
      </c>
      <c r="AD7" s="16">
        <f t="shared" si="2"/>
        <v>0.18000000000000002</v>
      </c>
      <c r="AE7" s="16">
        <f t="shared" si="2"/>
        <v>0.16000000000000003</v>
      </c>
      <c r="AF7" s="16">
        <f t="shared" si="2"/>
        <v>0.17500000000000004</v>
      </c>
      <c r="AG7" s="16">
        <f t="shared" si="2"/>
        <v>0.19000000000000006</v>
      </c>
      <c r="AH7" s="16">
        <f t="shared" si="1"/>
        <v>0.19000000000000006</v>
      </c>
      <c r="AI7" s="15"/>
    </row>
    <row r="8" spans="1:35">
      <c r="C8" s="31">
        <v>30</v>
      </c>
      <c r="D8" s="22">
        <v>0.22</v>
      </c>
      <c r="E8" s="33">
        <f t="shared" ref="E8:G10" si="3">D8-2%</f>
        <v>0.2</v>
      </c>
      <c r="F8" s="33">
        <f t="shared" si="3"/>
        <v>0.18000000000000002</v>
      </c>
      <c r="G8" s="33">
        <f t="shared" si="3"/>
        <v>0.16000000000000003</v>
      </c>
      <c r="H8" s="23">
        <f t="shared" ref="H8:J10" si="4">G8+1.5%</f>
        <v>0.17500000000000004</v>
      </c>
      <c r="I8" s="23">
        <f t="shared" si="4"/>
        <v>0.19000000000000006</v>
      </c>
      <c r="J8" s="24">
        <f t="shared" si="4"/>
        <v>0.20500000000000007</v>
      </c>
      <c r="K8"/>
      <c r="L8"/>
      <c r="S8" s="11"/>
      <c r="Z8" s="15">
        <f>C9/12</f>
        <v>7.5</v>
      </c>
      <c r="AA8" s="16">
        <f>AB8</f>
        <v>0.23</v>
      </c>
      <c r="AB8" s="16">
        <f t="shared" si="2"/>
        <v>0.23</v>
      </c>
      <c r="AC8" s="16">
        <f t="shared" si="2"/>
        <v>0.21000000000000002</v>
      </c>
      <c r="AD8" s="16">
        <f t="shared" si="2"/>
        <v>0.19000000000000003</v>
      </c>
      <c r="AE8" s="16">
        <f t="shared" si="2"/>
        <v>0.17000000000000004</v>
      </c>
      <c r="AF8" s="16">
        <f t="shared" si="2"/>
        <v>0.18500000000000005</v>
      </c>
      <c r="AG8" s="16">
        <f t="shared" si="2"/>
        <v>0.20000000000000007</v>
      </c>
      <c r="AH8" s="16">
        <f t="shared" si="1"/>
        <v>0.20000000000000007</v>
      </c>
      <c r="AI8" s="15"/>
    </row>
    <row r="9" spans="1:35">
      <c r="A9" s="82"/>
      <c r="C9" s="31">
        <v>90</v>
      </c>
      <c r="D9" s="25">
        <v>0.23</v>
      </c>
      <c r="E9" s="34">
        <f t="shared" si="3"/>
        <v>0.21000000000000002</v>
      </c>
      <c r="F9" s="34">
        <f t="shared" si="3"/>
        <v>0.19000000000000003</v>
      </c>
      <c r="G9" s="34">
        <f t="shared" si="3"/>
        <v>0.17000000000000004</v>
      </c>
      <c r="H9" s="26">
        <f t="shared" si="4"/>
        <v>0.18500000000000005</v>
      </c>
      <c r="I9" s="26">
        <f t="shared" si="4"/>
        <v>0.20000000000000007</v>
      </c>
      <c r="J9" s="27">
        <f t="shared" si="4"/>
        <v>0.21500000000000008</v>
      </c>
      <c r="K9"/>
      <c r="L9"/>
      <c r="S9" s="11"/>
      <c r="Z9" s="15">
        <f>C10/12</f>
        <v>15.166666666666666</v>
      </c>
      <c r="AA9" s="16">
        <f>AB9</f>
        <v>0.26</v>
      </c>
      <c r="AB9" s="16">
        <f t="shared" si="2"/>
        <v>0.26</v>
      </c>
      <c r="AC9" s="16">
        <f t="shared" si="2"/>
        <v>0.24000000000000002</v>
      </c>
      <c r="AD9" s="16">
        <f t="shared" si="2"/>
        <v>0.22000000000000003</v>
      </c>
      <c r="AE9" s="16">
        <f t="shared" si="2"/>
        <v>0.20000000000000004</v>
      </c>
      <c r="AF9" s="16">
        <f t="shared" si="2"/>
        <v>0.21500000000000002</v>
      </c>
      <c r="AG9" s="16">
        <f t="shared" si="2"/>
        <v>0.23000000000000004</v>
      </c>
      <c r="AH9" s="16">
        <f t="shared" si="1"/>
        <v>0.23000000000000004</v>
      </c>
      <c r="AI9" s="15"/>
    </row>
    <row r="10" spans="1:35">
      <c r="C10" s="31">
        <v>182</v>
      </c>
      <c r="D10" s="25">
        <v>0.26</v>
      </c>
      <c r="E10" s="34">
        <f t="shared" si="3"/>
        <v>0.24000000000000002</v>
      </c>
      <c r="F10" s="34">
        <f t="shared" si="3"/>
        <v>0.22000000000000003</v>
      </c>
      <c r="G10" s="34">
        <f t="shared" si="3"/>
        <v>0.20000000000000004</v>
      </c>
      <c r="H10" s="26">
        <f t="shared" si="4"/>
        <v>0.21500000000000002</v>
      </c>
      <c r="I10" s="26">
        <f t="shared" si="4"/>
        <v>0.23000000000000004</v>
      </c>
      <c r="J10" s="27">
        <f t="shared" si="4"/>
        <v>0.24500000000000005</v>
      </c>
      <c r="K10"/>
      <c r="L10"/>
      <c r="S10" s="11"/>
      <c r="Z10" s="15">
        <f>C11/12</f>
        <v>22.5</v>
      </c>
      <c r="AA10" s="16">
        <f>AB10</f>
        <v>0.25</v>
      </c>
      <c r="AB10" s="16">
        <f t="shared" si="2"/>
        <v>0.25</v>
      </c>
      <c r="AC10" s="16">
        <f t="shared" si="2"/>
        <v>0.23</v>
      </c>
      <c r="AD10" s="16">
        <f t="shared" si="2"/>
        <v>0.21000000000000002</v>
      </c>
      <c r="AE10" s="16">
        <f t="shared" si="2"/>
        <v>0.19000000000000003</v>
      </c>
      <c r="AF10" s="16">
        <f t="shared" si="2"/>
        <v>0.20500000000000002</v>
      </c>
      <c r="AG10" s="16">
        <f t="shared" si="2"/>
        <v>0.22000000000000003</v>
      </c>
      <c r="AH10" s="16">
        <f t="shared" si="1"/>
        <v>0.22000000000000003</v>
      </c>
      <c r="AI10" s="15"/>
    </row>
    <row r="11" spans="1:35">
      <c r="C11" s="31">
        <f>9*30</f>
        <v>270</v>
      </c>
      <c r="D11" s="25">
        <v>0.25</v>
      </c>
      <c r="E11" s="34">
        <f t="shared" ref="E11:G12" si="5">D11-2%</f>
        <v>0.23</v>
      </c>
      <c r="F11" s="34">
        <f t="shared" si="5"/>
        <v>0.21000000000000002</v>
      </c>
      <c r="G11" s="34">
        <f t="shared" si="5"/>
        <v>0.19000000000000003</v>
      </c>
      <c r="H11" s="26">
        <f t="shared" ref="H11:J12" si="6">G11+1.5%</f>
        <v>0.20500000000000002</v>
      </c>
      <c r="I11" s="26">
        <f t="shared" si="6"/>
        <v>0.22000000000000003</v>
      </c>
      <c r="J11" s="27">
        <f t="shared" si="6"/>
        <v>0.23500000000000004</v>
      </c>
      <c r="S11" s="11"/>
      <c r="Z11" s="18">
        <f>C12/12+0.011</f>
        <v>30.427666666666667</v>
      </c>
      <c r="AA11" s="16">
        <f>AB11</f>
        <v>0.245</v>
      </c>
      <c r="AB11" s="16">
        <f t="shared" si="2"/>
        <v>0.245</v>
      </c>
      <c r="AC11" s="16">
        <f t="shared" si="2"/>
        <v>0.22500000000000001</v>
      </c>
      <c r="AD11" s="16">
        <f t="shared" si="2"/>
        <v>0.20500000000000002</v>
      </c>
      <c r="AE11" s="16">
        <f t="shared" si="2"/>
        <v>0.18500000000000003</v>
      </c>
      <c r="AF11" s="16">
        <f t="shared" si="2"/>
        <v>0.2</v>
      </c>
      <c r="AG11" s="16">
        <f t="shared" si="2"/>
        <v>0.21500000000000002</v>
      </c>
      <c r="AH11" s="16">
        <f t="shared" si="1"/>
        <v>0.21500000000000002</v>
      </c>
      <c r="AI11" s="15"/>
    </row>
    <row r="12" spans="1:35" ht="12.75" thickBot="1">
      <c r="C12" s="31">
        <v>365</v>
      </c>
      <c r="D12" s="28">
        <v>0.245</v>
      </c>
      <c r="E12" s="35">
        <f t="shared" si="5"/>
        <v>0.22500000000000001</v>
      </c>
      <c r="F12" s="35">
        <f t="shared" si="5"/>
        <v>0.20500000000000002</v>
      </c>
      <c r="G12" s="35">
        <f t="shared" si="5"/>
        <v>0.18500000000000003</v>
      </c>
      <c r="H12" s="29">
        <f t="shared" si="6"/>
        <v>0.2</v>
      </c>
      <c r="I12" s="29">
        <f t="shared" si="6"/>
        <v>0.21500000000000002</v>
      </c>
      <c r="J12" s="30">
        <f t="shared" si="6"/>
        <v>0.23000000000000004</v>
      </c>
      <c r="S12" s="11"/>
      <c r="Z12" s="15"/>
      <c r="AA12" s="15"/>
      <c r="AB12" s="15"/>
      <c r="AC12" s="15"/>
      <c r="AD12" s="15"/>
      <c r="AE12" s="15"/>
      <c r="AF12" s="15"/>
      <c r="AG12" s="15"/>
      <c r="AH12" s="15"/>
      <c r="AI12" s="15"/>
    </row>
    <row r="13" spans="1:35">
      <c r="C13" s="4"/>
      <c r="D13" s="4"/>
      <c r="E13" s="4"/>
      <c r="F13" s="4"/>
      <c r="G13" s="4"/>
      <c r="H13" s="4"/>
      <c r="I13" s="4"/>
      <c r="S13" s="11"/>
      <c r="Z13" s="15"/>
      <c r="AA13" s="15"/>
      <c r="AB13" s="19"/>
      <c r="AC13" s="19"/>
      <c r="AD13" s="19"/>
      <c r="AE13" s="19"/>
      <c r="AF13" s="19"/>
      <c r="AG13" s="19"/>
      <c r="AH13" s="15"/>
      <c r="AI13" s="15"/>
    </row>
    <row r="14" spans="1:35">
      <c r="C14" s="4"/>
      <c r="D14" s="4"/>
      <c r="E14" s="4"/>
      <c r="F14" s="4"/>
      <c r="G14" s="4"/>
      <c r="H14" s="4"/>
      <c r="I14" s="4"/>
      <c r="S14" s="11"/>
      <c r="Z14" s="20"/>
      <c r="AA14" s="19"/>
      <c r="AB14" s="21"/>
      <c r="AC14" s="21"/>
      <c r="AD14" s="21"/>
      <c r="AE14" s="21"/>
      <c r="AF14" s="21"/>
      <c r="AG14" s="21"/>
      <c r="AH14" s="15"/>
      <c r="AI14" s="15"/>
    </row>
    <row r="15" spans="1:35">
      <c r="B15" s="4"/>
      <c r="C15" s="4"/>
      <c r="D15" s="4"/>
      <c r="E15" s="4"/>
      <c r="F15" s="4"/>
      <c r="H15" s="4"/>
      <c r="S15" s="11"/>
      <c r="Z15" s="20"/>
      <c r="AA15" s="19"/>
      <c r="AB15" s="21"/>
      <c r="AC15" s="21"/>
      <c r="AD15" s="21"/>
      <c r="AE15" s="21"/>
      <c r="AF15" s="21"/>
      <c r="AG15" s="21"/>
      <c r="AH15" s="15"/>
      <c r="AI15" s="15"/>
    </row>
    <row r="16" spans="1:35">
      <c r="B16" s="39" t="s">
        <v>4</v>
      </c>
      <c r="C16" s="36">
        <v>107</v>
      </c>
      <c r="D16" s="4"/>
      <c r="E16" s="4"/>
      <c r="F16" s="4"/>
      <c r="H16" s="4"/>
      <c r="S16" s="11"/>
      <c r="Z16" s="20"/>
      <c r="AA16" s="19"/>
      <c r="AB16" s="21"/>
      <c r="AC16" s="21"/>
      <c r="AD16" s="21"/>
      <c r="AE16" s="21"/>
      <c r="AF16" s="21"/>
      <c r="AG16" s="21"/>
      <c r="AH16" s="15"/>
      <c r="AI16" s="15"/>
    </row>
    <row r="17" spans="2:35">
      <c r="B17" s="39" t="s">
        <v>3</v>
      </c>
      <c r="C17" s="31">
        <v>45</v>
      </c>
      <c r="D17" s="4"/>
      <c r="E17" s="4"/>
      <c r="F17" s="4"/>
      <c r="H17" s="4"/>
      <c r="S17" s="11"/>
      <c r="Z17" s="20"/>
      <c r="AA17" s="19"/>
      <c r="AB17" s="21"/>
      <c r="AC17" s="21"/>
      <c r="AD17" s="21"/>
      <c r="AE17" s="21"/>
      <c r="AF17" s="21"/>
      <c r="AG17" s="21"/>
      <c r="AH17" s="15"/>
      <c r="AI17" s="15"/>
    </row>
    <row r="18" spans="2:35" ht="12.75">
      <c r="B18" s="39" t="s">
        <v>6</v>
      </c>
      <c r="C18" s="41">
        <f>TwoDimensionalInterpolation(C16,C17,D7:J7,C8:C12,D8:J12)</f>
        <v>0.17300000000000004</v>
      </c>
      <c r="D18" s="4"/>
      <c r="E18" s="4"/>
      <c r="F18" s="4"/>
      <c r="H18" s="4"/>
      <c r="S18" s="11"/>
      <c r="Z18" s="20"/>
      <c r="AA18" s="19"/>
      <c r="AB18" s="21"/>
      <c r="AC18" s="21"/>
      <c r="AD18" s="21"/>
      <c r="AE18" s="21"/>
      <c r="AF18" s="21"/>
      <c r="AG18" s="21"/>
      <c r="AH18" s="15"/>
      <c r="AI18" s="15"/>
    </row>
    <row r="19" spans="2:35">
      <c r="E19" s="4"/>
      <c r="F19" s="4"/>
      <c r="G19" s="4"/>
      <c r="J19" s="4"/>
      <c r="S19" s="11"/>
      <c r="Z19" s="20"/>
      <c r="AA19" s="19"/>
      <c r="AB19" s="21"/>
      <c r="AC19" s="21"/>
      <c r="AD19" s="21"/>
      <c r="AE19" s="21"/>
      <c r="AF19" s="21"/>
      <c r="AG19" s="21"/>
      <c r="AH19" s="15"/>
      <c r="AI19" s="15"/>
    </row>
    <row r="20" spans="2:35">
      <c r="E20" s="4"/>
      <c r="F20" s="4"/>
      <c r="G20" s="4"/>
      <c r="J20" s="4"/>
      <c r="S20" s="11"/>
      <c r="Z20" s="20"/>
      <c r="AA20" s="19"/>
      <c r="AB20" s="21"/>
      <c r="AC20" s="21"/>
      <c r="AD20" s="21"/>
      <c r="AE20" s="21"/>
      <c r="AF20" s="21"/>
      <c r="AG20" s="21"/>
      <c r="AH20" s="15"/>
      <c r="AI20" s="15"/>
    </row>
    <row r="21" spans="2:35">
      <c r="E21" s="4"/>
      <c r="F21" s="4"/>
      <c r="G21" s="4"/>
      <c r="J21"/>
      <c r="S21" s="11"/>
      <c r="Z21" s="15"/>
      <c r="AA21" s="15"/>
      <c r="AB21" s="15"/>
      <c r="AC21" s="15"/>
      <c r="AD21" s="15"/>
      <c r="AE21" s="15"/>
      <c r="AF21" s="15"/>
      <c r="AG21" s="15"/>
      <c r="AH21" s="15"/>
      <c r="AI21" s="15"/>
    </row>
    <row r="22" spans="2:35">
      <c r="S22" s="11"/>
    </row>
    <row r="23" spans="2:35">
      <c r="S23" s="11"/>
    </row>
    <row r="24" spans="2:35">
      <c r="S24" s="11"/>
    </row>
    <row r="25" spans="2:35">
      <c r="S25" s="11"/>
    </row>
    <row r="26" spans="2:35">
      <c r="K26" s="4"/>
      <c r="L26" s="4"/>
      <c r="N26" s="4"/>
      <c r="S26" s="11"/>
    </row>
    <row r="27" spans="2:35">
      <c r="K27" s="4"/>
      <c r="L27" s="4"/>
      <c r="N27" s="4"/>
      <c r="O27" s="7"/>
      <c r="P27" s="7"/>
      <c r="Q27" s="7"/>
      <c r="R27" s="7"/>
      <c r="S27" s="12"/>
      <c r="T27" s="14"/>
      <c r="U27" s="14"/>
      <c r="V27" s="14"/>
    </row>
    <row r="28" spans="2:35">
      <c r="K28" s="4"/>
      <c r="L28" s="4"/>
      <c r="N28" s="4"/>
      <c r="O28" s="7"/>
      <c r="P28" s="7"/>
      <c r="Q28" s="7"/>
      <c r="R28" s="7"/>
      <c r="S28" s="12"/>
      <c r="T28" s="14"/>
      <c r="U28" s="14"/>
      <c r="V28" s="14"/>
    </row>
    <row r="29" spans="2:35">
      <c r="E29" s="4"/>
      <c r="F29" s="4"/>
      <c r="G29" s="4"/>
      <c r="H29" s="37"/>
      <c r="I29"/>
      <c r="J29"/>
      <c r="K29" s="4"/>
      <c r="L29" s="4"/>
      <c r="N29" s="4"/>
      <c r="O29" s="7"/>
      <c r="P29" s="7"/>
      <c r="Q29" s="7"/>
      <c r="R29" s="7"/>
      <c r="S29" s="12"/>
      <c r="T29" s="14"/>
      <c r="U29" s="14"/>
      <c r="V29" s="14"/>
    </row>
    <row r="30" spans="2:35">
      <c r="E30" s="4"/>
      <c r="F30" s="4"/>
      <c r="G30" s="8"/>
      <c r="H30" s="8"/>
      <c r="I30" s="8"/>
      <c r="J30"/>
      <c r="K30" s="8"/>
      <c r="L30" s="8"/>
      <c r="N30" s="4"/>
      <c r="O30" s="7"/>
      <c r="P30" s="7"/>
      <c r="Q30" s="7"/>
      <c r="R30" s="7"/>
      <c r="S30" s="12"/>
      <c r="T30" s="14"/>
      <c r="U30" s="14"/>
      <c r="V30" s="14"/>
    </row>
    <row r="31" spans="2:35">
      <c r="H31" s="4"/>
      <c r="I31" s="4"/>
      <c r="J31"/>
      <c r="K31" s="4"/>
      <c r="L31" s="4"/>
      <c r="N31" s="4"/>
      <c r="O31" s="7"/>
      <c r="P31" s="7"/>
      <c r="Q31" s="7"/>
      <c r="R31" s="7"/>
      <c r="S31" s="12"/>
      <c r="T31" s="14"/>
      <c r="U31" s="14"/>
      <c r="V31" s="14"/>
    </row>
    <row r="32" spans="2:35">
      <c r="N32" s="7"/>
      <c r="O32" s="7"/>
      <c r="P32" s="7"/>
      <c r="Q32" s="7"/>
      <c r="R32" s="7"/>
      <c r="S32" s="12"/>
      <c r="T32" s="14"/>
      <c r="U32" s="14"/>
      <c r="V32" s="14"/>
    </row>
    <row r="33" spans="5:19">
      <c r="S33" s="11"/>
    </row>
    <row r="34" spans="5:19">
      <c r="S34" s="11"/>
    </row>
    <row r="35" spans="5:19">
      <c r="S35" s="11"/>
    </row>
    <row r="36" spans="5:19">
      <c r="S36" s="11"/>
    </row>
    <row r="37" spans="5:19">
      <c r="S37" s="11"/>
    </row>
    <row r="38" spans="5:19">
      <c r="S38" s="11"/>
    </row>
    <row r="39" spans="5:19">
      <c r="Q39" s="7"/>
      <c r="S39" s="11"/>
    </row>
    <row r="40" spans="5:19">
      <c r="Q40" s="7"/>
      <c r="S40" s="11"/>
    </row>
    <row r="41" spans="5:19">
      <c r="Q41" s="7"/>
      <c r="S41" s="11"/>
    </row>
    <row r="42" spans="5:19">
      <c r="Q42" s="7"/>
      <c r="S42" s="11"/>
    </row>
    <row r="43" spans="5:19">
      <c r="Q43" s="7"/>
      <c r="S43" s="11"/>
    </row>
    <row r="44" spans="5:19">
      <c r="Q44" s="7"/>
      <c r="S44" s="11"/>
    </row>
    <row r="45" spans="5:19">
      <c r="Q45" s="7"/>
      <c r="S45" s="11"/>
    </row>
    <row r="46" spans="5:19">
      <c r="E46" s="6"/>
      <c r="F46" s="6"/>
      <c r="G46" s="5"/>
      <c r="H46" s="5"/>
      <c r="I46" s="5"/>
      <c r="J46" s="5"/>
      <c r="K46" s="5"/>
      <c r="L46" s="5"/>
      <c r="Q46" s="7"/>
      <c r="S46" s="11"/>
    </row>
    <row r="47" spans="5:19">
      <c r="E47" s="6"/>
      <c r="F47" s="6"/>
      <c r="G47" s="5"/>
      <c r="H47" s="5"/>
      <c r="I47" s="5"/>
      <c r="J47" s="5"/>
      <c r="K47" s="5"/>
      <c r="L47" s="5"/>
      <c r="Q47" s="7"/>
      <c r="S47" s="11"/>
    </row>
    <row r="48" spans="5:19">
      <c r="E48" s="6"/>
      <c r="F48" s="6"/>
      <c r="G48" s="5"/>
      <c r="H48" s="5"/>
      <c r="I48" s="5"/>
      <c r="J48" s="5"/>
      <c r="K48" s="5"/>
      <c r="L48" s="5"/>
      <c r="Q48" s="7"/>
      <c r="S48" s="11"/>
    </row>
    <row r="49" spans="5:19">
      <c r="E49" s="6"/>
      <c r="F49" s="6"/>
      <c r="G49" s="5"/>
      <c r="H49" s="5"/>
      <c r="I49" s="5"/>
      <c r="J49" s="5"/>
      <c r="K49" s="5"/>
      <c r="L49" s="5"/>
      <c r="Q49" s="7"/>
      <c r="S49" s="11"/>
    </row>
    <row r="50" spans="5:19">
      <c r="E50" s="6"/>
      <c r="F50" s="6"/>
      <c r="G50" s="5"/>
      <c r="H50" s="5"/>
      <c r="I50" s="5"/>
      <c r="J50" s="5"/>
      <c r="K50" s="5"/>
      <c r="L50" s="5"/>
      <c r="Q50" s="7"/>
      <c r="S50" s="11"/>
    </row>
    <row r="51" spans="5:19">
      <c r="E51" s="6"/>
      <c r="F51" s="6"/>
      <c r="G51" s="5"/>
      <c r="H51" s="5"/>
      <c r="I51" s="5"/>
      <c r="J51" s="5"/>
      <c r="K51" s="5"/>
      <c r="L51" s="5"/>
      <c r="Q51" s="7"/>
      <c r="S51" s="11"/>
    </row>
    <row r="52" spans="5:19">
      <c r="E52" s="6"/>
      <c r="F52" s="6"/>
      <c r="G52" s="5"/>
      <c r="H52" s="5"/>
      <c r="I52" s="5"/>
      <c r="J52" s="5"/>
      <c r="K52" s="5"/>
      <c r="L52" s="5"/>
      <c r="Q52" s="7"/>
      <c r="S52" s="11"/>
    </row>
    <row r="53" spans="5:19">
      <c r="E53" s="6"/>
      <c r="F53" s="6"/>
      <c r="G53" s="5"/>
      <c r="H53" s="5"/>
      <c r="I53" s="5"/>
      <c r="J53" s="5"/>
      <c r="K53" s="5"/>
      <c r="L53" s="5"/>
      <c r="Q53" s="7"/>
      <c r="S53" s="11"/>
    </row>
    <row r="54" spans="5:19">
      <c r="E54" s="6"/>
      <c r="F54" s="6"/>
      <c r="G54" s="5"/>
      <c r="H54" s="5"/>
      <c r="I54" s="5"/>
      <c r="J54" s="5"/>
      <c r="K54" s="5"/>
      <c r="L54" s="5"/>
      <c r="Q54" s="7"/>
      <c r="S54" s="11"/>
    </row>
    <row r="55" spans="5:19">
      <c r="E55" s="6"/>
      <c r="F55" s="6"/>
      <c r="G55" s="5"/>
      <c r="H55" s="5"/>
      <c r="I55" s="5"/>
      <c r="J55" s="5"/>
      <c r="K55" s="5"/>
      <c r="L55" s="5"/>
      <c r="Q55" s="7"/>
      <c r="S55" s="11"/>
    </row>
    <row r="56" spans="5:19">
      <c r="E56" s="6"/>
      <c r="F56" s="6"/>
      <c r="G56" s="5"/>
      <c r="H56" s="5"/>
      <c r="I56" s="5"/>
      <c r="J56" s="5"/>
      <c r="K56" s="5"/>
      <c r="L56" s="5"/>
      <c r="Q56" s="7"/>
      <c r="S56" s="11"/>
    </row>
    <row r="57" spans="5:19">
      <c r="E57" s="6"/>
      <c r="F57" s="6"/>
      <c r="G57" s="5"/>
      <c r="H57" s="5"/>
      <c r="I57" s="5"/>
      <c r="J57" s="5"/>
      <c r="K57" s="5"/>
      <c r="L57" s="5"/>
      <c r="Q57" s="7"/>
      <c r="S57" s="11"/>
    </row>
    <row r="58" spans="5:19">
      <c r="E58" s="6"/>
      <c r="F58" s="6"/>
      <c r="G58" s="5"/>
      <c r="H58" s="5"/>
      <c r="I58" s="5"/>
      <c r="J58" s="5"/>
      <c r="K58" s="5"/>
      <c r="L58" s="5"/>
      <c r="Q58" s="7"/>
      <c r="S58" s="11"/>
    </row>
    <row r="59" spans="5:19">
      <c r="E59" s="6"/>
      <c r="F59" s="6"/>
      <c r="G59" s="5"/>
      <c r="H59" s="5"/>
      <c r="I59" s="5"/>
      <c r="J59" s="5"/>
      <c r="K59" s="5"/>
      <c r="L59" s="5"/>
      <c r="S59" s="11"/>
    </row>
    <row r="60" spans="5:19">
      <c r="Q60" s="5"/>
      <c r="S60" s="11"/>
    </row>
    <row r="61" spans="5:19">
      <c r="S61" s="11"/>
    </row>
    <row r="62" spans="5:19">
      <c r="S62" s="11"/>
    </row>
    <row r="63" spans="5:19">
      <c r="S63" s="11"/>
    </row>
    <row r="64" spans="5:19">
      <c r="S64" s="11"/>
    </row>
    <row r="65" spans="19:19">
      <c r="S65" s="11"/>
    </row>
    <row r="66" spans="19:19">
      <c r="S66" s="11"/>
    </row>
    <row r="67" spans="19:19">
      <c r="S67" s="11"/>
    </row>
    <row r="68" spans="19:19">
      <c r="S68" s="11"/>
    </row>
    <row r="69" spans="19:19">
      <c r="S69" s="11"/>
    </row>
    <row r="70" spans="19:19">
      <c r="S70" s="11"/>
    </row>
    <row r="71" spans="19:19">
      <c r="S71" s="11"/>
    </row>
    <row r="72" spans="19:19">
      <c r="S72" s="11"/>
    </row>
    <row r="73" spans="19:19">
      <c r="S73" s="11"/>
    </row>
    <row r="74" spans="19:19">
      <c r="S74" s="11"/>
    </row>
    <row r="75" spans="19:19">
      <c r="S75" s="11"/>
    </row>
    <row r="76" spans="19:19">
      <c r="S76" s="11"/>
    </row>
    <row r="77" spans="19:19">
      <c r="S77" s="11"/>
    </row>
    <row r="78" spans="19:19">
      <c r="S78" s="11"/>
    </row>
    <row r="79" spans="19:19">
      <c r="S79" s="11"/>
    </row>
    <row r="80" spans="19:19">
      <c r="S80" s="11"/>
    </row>
    <row r="81" spans="19:19">
      <c r="S81" s="11"/>
    </row>
    <row r="82" spans="19:19">
      <c r="S82" s="11"/>
    </row>
    <row r="83" spans="19:19">
      <c r="S83" s="11"/>
    </row>
    <row r="84" spans="19:19">
      <c r="S84" s="11"/>
    </row>
    <row r="85" spans="19:19">
      <c r="S85" s="11"/>
    </row>
    <row r="86" spans="19:19">
      <c r="S86" s="11"/>
    </row>
    <row r="87" spans="19:19">
      <c r="S87" s="11"/>
    </row>
    <row r="88" spans="19:19">
      <c r="S88" s="11"/>
    </row>
    <row r="89" spans="19:19">
      <c r="S89" s="11"/>
    </row>
    <row r="90" spans="19:19">
      <c r="S90" s="11"/>
    </row>
    <row r="91" spans="19:19">
      <c r="S91" s="11"/>
    </row>
    <row r="92" spans="19:19">
      <c r="S92" s="11"/>
    </row>
    <row r="93" spans="19:19">
      <c r="S93" s="11"/>
    </row>
    <row r="94" spans="19:19">
      <c r="S94" s="11"/>
    </row>
    <row r="95" spans="19:19">
      <c r="S95" s="11"/>
    </row>
    <row r="96" spans="19:19">
      <c r="S96" s="11"/>
    </row>
    <row r="97" spans="19:19">
      <c r="S97" s="11"/>
    </row>
    <row r="98" spans="19:19">
      <c r="S98" s="11"/>
    </row>
    <row r="99" spans="19:19">
      <c r="S99" s="11"/>
    </row>
    <row r="100" spans="19:19">
      <c r="S100" s="11"/>
    </row>
    <row r="101" spans="19:19">
      <c r="S101" s="11"/>
    </row>
    <row r="102" spans="19:19">
      <c r="S102" s="11"/>
    </row>
    <row r="103" spans="19:19">
      <c r="S103" s="11"/>
    </row>
    <row r="104" spans="19:19">
      <c r="S104" s="11"/>
    </row>
    <row r="105" spans="19:19">
      <c r="S105" s="11"/>
    </row>
    <row r="106" spans="19:19">
      <c r="S106" s="11"/>
    </row>
    <row r="107" spans="19:19">
      <c r="S107" s="11"/>
    </row>
    <row r="108" spans="19:19">
      <c r="S108" s="11"/>
    </row>
    <row r="109" spans="19:19">
      <c r="S109" s="11"/>
    </row>
    <row r="110" spans="19:19">
      <c r="S110" s="11"/>
    </row>
    <row r="111" spans="19:19">
      <c r="S111" s="11"/>
    </row>
    <row r="112" spans="19:19">
      <c r="S112" s="11"/>
    </row>
    <row r="113" spans="19:19">
      <c r="S113" s="11"/>
    </row>
    <row r="114" spans="19:19">
      <c r="S114" s="11"/>
    </row>
    <row r="115" spans="19:19">
      <c r="S115" s="11"/>
    </row>
    <row r="116" spans="19:19">
      <c r="S116" s="11"/>
    </row>
    <row r="117" spans="19:19">
      <c r="S117" s="11"/>
    </row>
    <row r="118" spans="19:19">
      <c r="S118" s="11"/>
    </row>
    <row r="119" spans="19:19">
      <c r="S119" s="11"/>
    </row>
    <row r="120" spans="19:19">
      <c r="S120" s="11"/>
    </row>
    <row r="121" spans="19:19">
      <c r="S121" s="11"/>
    </row>
  </sheetData>
  <phoneticPr fontId="9"/>
  <pageMargins left="0.75" right="0.75" top="1" bottom="1" header="0.5" footer="0.5"/>
  <pageSetup paperSize="0"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Index</vt:lpstr>
      <vt:lpstr>1.Exponential</vt:lpstr>
      <vt:lpstr>2.Various</vt:lpstr>
      <vt:lpstr>3.Two-Dimensional</vt:lpstr>
      <vt:lpstr>D1_</vt:lpstr>
      <vt:lpstr>D2_</vt:lpstr>
      <vt:lpstr>t1_</vt:lpstr>
      <vt:lpstr>t2_</vt:lpstr>
      <vt:lpstr>'1.Exponential'!ti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2018-10-15T01:28:41Z</dcterms:created>
  <dcterms:modified xsi:type="dcterms:W3CDTF">2018-10-15T01:29:10Z</dcterms:modified>
</cp:coreProperties>
</file>
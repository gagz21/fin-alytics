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ate1904="1" filterPrivacy="1" codeName="ThisWorkbook"/>
  <bookViews>
    <workbookView xWindow="225" yWindow="660" windowWidth="15375" windowHeight="11355" tabRatio="500" activeTab="5"/>
  </bookViews>
  <sheets>
    <sheet name="Index" sheetId="7" r:id="rId1"/>
    <sheet name="1.ND" sheetId="9" r:id="rId2"/>
    <sheet name="2.CND" sheetId="11" r:id="rId3"/>
    <sheet name="3.Bivariate" sheetId="8" r:id="rId4"/>
    <sheet name="4.BivariateC" sheetId="2" r:id="rId5"/>
    <sheet name="5.TrivariateC" sheetId="1" r:id="rId6"/>
  </sheets>
  <functionGroups builtInGroupCount="18"/>
  <calcPr calcId="162913"/>
</workbook>
</file>

<file path=xl/calcChain.xml><?xml version="1.0" encoding="utf-8"?>
<calcChain xmlns="http://schemas.openxmlformats.org/spreadsheetml/2006/main">
  <c r="G6" i="9" l="1"/>
  <c r="G7" i="9" s="1"/>
  <c r="G8" i="9" s="1"/>
  <c r="G9" i="9" s="1"/>
  <c r="G10" i="9" s="1"/>
  <c r="G11" i="9" s="1"/>
  <c r="G12" i="9" s="1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5" i="11"/>
  <c r="G6" i="11" s="1"/>
  <c r="G7" i="11" s="1"/>
  <c r="G8" i="11" s="1"/>
  <c r="G9" i="11" s="1"/>
  <c r="G10" i="11" s="1"/>
  <c r="G11" i="11" s="1"/>
  <c r="G12" i="11" s="1"/>
  <c r="G13" i="11" s="1"/>
  <c r="G14" i="11" s="1"/>
  <c r="G15" i="11" s="1"/>
  <c r="G16" i="11" s="1"/>
  <c r="G17" i="11" s="1"/>
  <c r="G18" i="11" s="1"/>
  <c r="G19" i="11" s="1"/>
  <c r="G20" i="11" s="1"/>
  <c r="G21" i="11" s="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C6" i="11"/>
  <c r="H13" i="8"/>
  <c r="I13" i="8"/>
  <c r="J13" i="8" s="1"/>
  <c r="K13" i="8" s="1"/>
  <c r="L13" i="8" s="1"/>
  <c r="M13" i="8" s="1"/>
  <c r="N13" i="8" s="1"/>
  <c r="O13" i="8" s="1"/>
  <c r="P13" i="8" s="1"/>
  <c r="Q13" i="8" s="1"/>
  <c r="R13" i="8" s="1"/>
  <c r="S13" i="8" s="1"/>
  <c r="T13" i="8" s="1"/>
  <c r="U13" i="8" s="1"/>
  <c r="V13" i="8" s="1"/>
  <c r="W13" i="8" s="1"/>
  <c r="X13" i="8" s="1"/>
  <c r="Y13" i="8" s="1"/>
  <c r="Z13" i="8" s="1"/>
  <c r="AA13" i="8" s="1"/>
  <c r="AB13" i="8" s="1"/>
  <c r="AC13" i="8" s="1"/>
  <c r="AD13" i="8" s="1"/>
  <c r="AE13" i="8" s="1"/>
  <c r="AF13" i="8" s="1"/>
  <c r="AG13" i="8" s="1"/>
  <c r="AH13" i="8" s="1"/>
  <c r="AI13" i="8" s="1"/>
  <c r="AJ13" i="8" s="1"/>
  <c r="AK13" i="8" s="1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G15" i="8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G43" i="8" s="1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H35" i="8"/>
  <c r="I35" i="8"/>
  <c r="J35" i="8"/>
  <c r="K35" i="8"/>
  <c r="L35" i="8"/>
  <c r="M35" i="8"/>
  <c r="N35" i="8"/>
  <c r="O35" i="8"/>
  <c r="P35" i="8"/>
  <c r="Q35" i="8"/>
  <c r="R35" i="8"/>
  <c r="S35" i="8"/>
  <c r="T35" i="8"/>
  <c r="U35" i="8"/>
  <c r="V35" i="8"/>
  <c r="W35" i="8"/>
  <c r="X35" i="8"/>
  <c r="Y35" i="8"/>
  <c r="Z35" i="8"/>
  <c r="AA35" i="8"/>
  <c r="AB35" i="8"/>
  <c r="AC35" i="8"/>
  <c r="AD35" i="8"/>
  <c r="AE35" i="8"/>
  <c r="AF35" i="8"/>
  <c r="AG35" i="8"/>
  <c r="AH35" i="8"/>
  <c r="AI35" i="8"/>
  <c r="AJ35" i="8"/>
  <c r="AK35" i="8"/>
  <c r="H36" i="8"/>
  <c r="I36" i="8"/>
  <c r="J36" i="8"/>
  <c r="K36" i="8"/>
  <c r="L36" i="8"/>
  <c r="M36" i="8"/>
  <c r="N36" i="8"/>
  <c r="O36" i="8"/>
  <c r="P36" i="8"/>
  <c r="Q36" i="8"/>
  <c r="R36" i="8"/>
  <c r="S36" i="8"/>
  <c r="T36" i="8"/>
  <c r="U36" i="8"/>
  <c r="V36" i="8"/>
  <c r="W36" i="8"/>
  <c r="X36" i="8"/>
  <c r="Y36" i="8"/>
  <c r="Z36" i="8"/>
  <c r="AA36" i="8"/>
  <c r="AB36" i="8"/>
  <c r="AC36" i="8"/>
  <c r="AD36" i="8"/>
  <c r="AE36" i="8"/>
  <c r="AF36" i="8"/>
  <c r="AG36" i="8"/>
  <c r="AH36" i="8"/>
  <c r="AI36" i="8"/>
  <c r="AJ36" i="8"/>
  <c r="AK36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Z37" i="8"/>
  <c r="AA37" i="8"/>
  <c r="AB37" i="8"/>
  <c r="AC37" i="8"/>
  <c r="AD37" i="8"/>
  <c r="AE37" i="8"/>
  <c r="AF37" i="8"/>
  <c r="AG37" i="8"/>
  <c r="AH37" i="8"/>
  <c r="AI37" i="8"/>
  <c r="AJ37" i="8"/>
  <c r="AK37" i="8"/>
  <c r="H38" i="8"/>
  <c r="I38" i="8"/>
  <c r="J38" i="8"/>
  <c r="K38" i="8"/>
  <c r="L38" i="8"/>
  <c r="M38" i="8"/>
  <c r="N38" i="8"/>
  <c r="O38" i="8"/>
  <c r="P38" i="8"/>
  <c r="Q38" i="8"/>
  <c r="R38" i="8"/>
  <c r="S38" i="8"/>
  <c r="T38" i="8"/>
  <c r="U38" i="8"/>
  <c r="V38" i="8"/>
  <c r="W38" i="8"/>
  <c r="X38" i="8"/>
  <c r="Y38" i="8"/>
  <c r="Z38" i="8"/>
  <c r="AA38" i="8"/>
  <c r="AB38" i="8"/>
  <c r="AC38" i="8"/>
  <c r="AD38" i="8"/>
  <c r="AE38" i="8"/>
  <c r="AF38" i="8"/>
  <c r="AG38" i="8"/>
  <c r="AH38" i="8"/>
  <c r="AI38" i="8"/>
  <c r="AJ38" i="8"/>
  <c r="AK38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Z39" i="8"/>
  <c r="AA39" i="8"/>
  <c r="AB39" i="8"/>
  <c r="AC39" i="8"/>
  <c r="AD39" i="8"/>
  <c r="AE39" i="8"/>
  <c r="AF39" i="8"/>
  <c r="AG39" i="8"/>
  <c r="AH39" i="8"/>
  <c r="AI39" i="8"/>
  <c r="AJ39" i="8"/>
  <c r="AK39" i="8"/>
  <c r="H40" i="8"/>
  <c r="I40" i="8"/>
  <c r="J40" i="8"/>
  <c r="K40" i="8"/>
  <c r="L40" i="8"/>
  <c r="M40" i="8"/>
  <c r="N40" i="8"/>
  <c r="O40" i="8"/>
  <c r="P40" i="8"/>
  <c r="Q40" i="8"/>
  <c r="R40" i="8"/>
  <c r="S40" i="8"/>
  <c r="T40" i="8"/>
  <c r="U40" i="8"/>
  <c r="V40" i="8"/>
  <c r="W40" i="8"/>
  <c r="X40" i="8"/>
  <c r="Y40" i="8"/>
  <c r="Z40" i="8"/>
  <c r="AA40" i="8"/>
  <c r="AB40" i="8"/>
  <c r="AC40" i="8"/>
  <c r="AD40" i="8"/>
  <c r="AE40" i="8"/>
  <c r="AF40" i="8"/>
  <c r="AG40" i="8"/>
  <c r="AH40" i="8"/>
  <c r="AI40" i="8"/>
  <c r="AJ40" i="8"/>
  <c r="AK40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Z41" i="8"/>
  <c r="AA41" i="8"/>
  <c r="AB41" i="8"/>
  <c r="AC41" i="8"/>
  <c r="AD41" i="8"/>
  <c r="AE41" i="8"/>
  <c r="AF41" i="8"/>
  <c r="AG41" i="8"/>
  <c r="AH41" i="8"/>
  <c r="AI41" i="8"/>
  <c r="AJ41" i="8"/>
  <c r="AK41" i="8"/>
  <c r="H42" i="8"/>
  <c r="I42" i="8"/>
  <c r="J42" i="8"/>
  <c r="K42" i="8"/>
  <c r="L42" i="8"/>
  <c r="M42" i="8"/>
  <c r="N42" i="8"/>
  <c r="O42" i="8"/>
  <c r="P42" i="8"/>
  <c r="Q42" i="8"/>
  <c r="R42" i="8"/>
  <c r="S42" i="8"/>
  <c r="T42" i="8"/>
  <c r="U42" i="8"/>
  <c r="V42" i="8"/>
  <c r="W42" i="8"/>
  <c r="X42" i="8"/>
  <c r="Y42" i="8"/>
  <c r="Z42" i="8"/>
  <c r="AA42" i="8"/>
  <c r="AB42" i="8"/>
  <c r="AC42" i="8"/>
  <c r="AD42" i="8"/>
  <c r="AE42" i="8"/>
  <c r="AF42" i="8"/>
  <c r="AG42" i="8"/>
  <c r="AH42" i="8"/>
  <c r="AI42" i="8"/>
  <c r="AJ42" i="8"/>
  <c r="AK42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Z43" i="8"/>
  <c r="AA43" i="8"/>
  <c r="AB43" i="8"/>
  <c r="AC43" i="8"/>
  <c r="AD43" i="8"/>
  <c r="AE43" i="8"/>
  <c r="AF43" i="8"/>
  <c r="AG43" i="8"/>
  <c r="AH43" i="8"/>
  <c r="AI43" i="8"/>
  <c r="AJ43" i="8"/>
  <c r="AK43" i="8"/>
  <c r="H19" i="2"/>
  <c r="I19" i="2"/>
  <c r="J19" i="2" s="1"/>
  <c r="K19" i="2" s="1"/>
  <c r="L19" i="2" s="1"/>
  <c r="M19" i="2" s="1"/>
  <c r="N19" i="2" s="1"/>
  <c r="O19" i="2" s="1"/>
  <c r="P19" i="2" s="1"/>
  <c r="Q19" i="2" s="1"/>
  <c r="R19" i="2" s="1"/>
  <c r="S19" i="2" s="1"/>
  <c r="T19" i="2" s="1"/>
  <c r="U19" i="2" s="1"/>
  <c r="V19" i="2" s="1"/>
  <c r="W19" i="2" s="1"/>
  <c r="X19" i="2" s="1"/>
  <c r="Y19" i="2" s="1"/>
  <c r="Z19" i="2" s="1"/>
  <c r="AA19" i="2" s="1"/>
  <c r="AB19" i="2" s="1"/>
  <c r="AC19" i="2" s="1"/>
  <c r="AD19" i="2" s="1"/>
  <c r="AE19" i="2" s="1"/>
  <c r="AF19" i="2" s="1"/>
  <c r="AG19" i="2" s="1"/>
  <c r="AH19" i="2" s="1"/>
  <c r="AI19" i="2" s="1"/>
  <c r="AJ19" i="2" s="1"/>
  <c r="AK19" i="2" s="1"/>
  <c r="G20" i="2"/>
  <c r="G21" i="2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H8" i="9"/>
  <c r="H12" i="9"/>
  <c r="H16" i="9"/>
  <c r="H20" i="9"/>
  <c r="H24" i="9"/>
  <c r="H28" i="9"/>
  <c r="H32" i="9"/>
  <c r="H11" i="9"/>
  <c r="H15" i="9"/>
  <c r="H27" i="9"/>
  <c r="H35" i="9"/>
  <c r="H6" i="9"/>
  <c r="H9" i="9"/>
  <c r="H13" i="9"/>
  <c r="H17" i="9"/>
  <c r="H21" i="9"/>
  <c r="H25" i="9"/>
  <c r="H29" i="9"/>
  <c r="H33" i="9"/>
  <c r="H23" i="9"/>
  <c r="H10" i="9"/>
  <c r="H14" i="9"/>
  <c r="H18" i="9"/>
  <c r="H22" i="9"/>
  <c r="H26" i="9"/>
  <c r="H30" i="9"/>
  <c r="H34" i="9"/>
  <c r="H7" i="9"/>
  <c r="H19" i="9"/>
  <c r="H31" i="9"/>
  <c r="H7" i="11"/>
  <c r="H11" i="11"/>
  <c r="H15" i="11"/>
  <c r="H19" i="11"/>
  <c r="H23" i="11"/>
  <c r="H27" i="11"/>
  <c r="H31" i="11"/>
  <c r="H5" i="11"/>
  <c r="H8" i="11"/>
  <c r="H12" i="11"/>
  <c r="H16" i="11"/>
  <c r="H20" i="11"/>
  <c r="H24" i="11"/>
  <c r="H28" i="11"/>
  <c r="H32" i="11"/>
  <c r="H34" i="11"/>
  <c r="H9" i="11"/>
  <c r="H13" i="11"/>
  <c r="H17" i="11"/>
  <c r="H21" i="11"/>
  <c r="H25" i="11"/>
  <c r="H29" i="11"/>
  <c r="H33" i="11"/>
  <c r="H6" i="11"/>
  <c r="H10" i="11"/>
  <c r="H14" i="11"/>
  <c r="H18" i="11"/>
  <c r="H22" i="11"/>
  <c r="H26" i="11"/>
  <c r="H30" i="11"/>
  <c r="I20" i="2"/>
  <c r="M20" i="2"/>
  <c r="Q20" i="2"/>
  <c r="U20" i="2"/>
  <c r="Y20" i="2"/>
  <c r="AC20" i="2"/>
  <c r="AG20" i="2"/>
  <c r="AK20" i="2"/>
  <c r="J21" i="2"/>
  <c r="N21" i="2"/>
  <c r="R21" i="2"/>
  <c r="V21" i="2"/>
  <c r="Z21" i="2"/>
  <c r="AD21" i="2"/>
  <c r="AH21" i="2"/>
  <c r="H22" i="2"/>
  <c r="L22" i="2"/>
  <c r="P22" i="2"/>
  <c r="T22" i="2"/>
  <c r="X22" i="2"/>
  <c r="AB22" i="2"/>
  <c r="AF22" i="2"/>
  <c r="AJ22" i="2"/>
  <c r="J23" i="2"/>
  <c r="N23" i="2"/>
  <c r="R23" i="2"/>
  <c r="V23" i="2"/>
  <c r="Z23" i="2"/>
  <c r="AD23" i="2"/>
  <c r="AH23" i="2"/>
  <c r="H24" i="2"/>
  <c r="L24" i="2"/>
  <c r="P24" i="2"/>
  <c r="T24" i="2"/>
  <c r="X24" i="2"/>
  <c r="AB24" i="2"/>
  <c r="AF24" i="2"/>
  <c r="AJ24" i="2"/>
  <c r="J25" i="2"/>
  <c r="N25" i="2"/>
  <c r="R25" i="2"/>
  <c r="V25" i="2"/>
  <c r="Z25" i="2"/>
  <c r="AD25" i="2"/>
  <c r="AH25" i="2"/>
  <c r="H26" i="2"/>
  <c r="L26" i="2"/>
  <c r="P26" i="2"/>
  <c r="T26" i="2"/>
  <c r="X26" i="2"/>
  <c r="AB26" i="2"/>
  <c r="AF26" i="2"/>
  <c r="AJ26" i="2"/>
  <c r="J27" i="2"/>
  <c r="N27" i="2"/>
  <c r="R27" i="2"/>
  <c r="V27" i="2"/>
  <c r="Z27" i="2"/>
  <c r="AD27" i="2"/>
  <c r="AH27" i="2"/>
  <c r="H28" i="2"/>
  <c r="L28" i="2"/>
  <c r="P28" i="2"/>
  <c r="T28" i="2"/>
  <c r="X28" i="2"/>
  <c r="AB28" i="2"/>
  <c r="AF28" i="2"/>
  <c r="AJ28" i="2"/>
  <c r="J29" i="2"/>
  <c r="N29" i="2"/>
  <c r="R29" i="2"/>
  <c r="V29" i="2"/>
  <c r="Z29" i="2"/>
  <c r="AD29" i="2"/>
  <c r="AH29" i="2"/>
  <c r="H30" i="2"/>
  <c r="L30" i="2"/>
  <c r="P30" i="2"/>
  <c r="T30" i="2"/>
  <c r="X30" i="2"/>
  <c r="AB30" i="2"/>
  <c r="AF30" i="2"/>
  <c r="AJ30" i="2"/>
  <c r="J31" i="2"/>
  <c r="N31" i="2"/>
  <c r="R31" i="2"/>
  <c r="V31" i="2"/>
  <c r="Z31" i="2"/>
  <c r="AD31" i="2"/>
  <c r="AH31" i="2"/>
  <c r="H32" i="2"/>
  <c r="L32" i="2"/>
  <c r="P32" i="2"/>
  <c r="T32" i="2"/>
  <c r="X32" i="2"/>
  <c r="AB32" i="2"/>
  <c r="AF32" i="2"/>
  <c r="AJ32" i="2"/>
  <c r="J33" i="2"/>
  <c r="N33" i="2"/>
  <c r="R33" i="2"/>
  <c r="V33" i="2"/>
  <c r="Z33" i="2"/>
  <c r="AD33" i="2"/>
  <c r="AH33" i="2"/>
  <c r="H34" i="2"/>
  <c r="L34" i="2"/>
  <c r="P34" i="2"/>
  <c r="T34" i="2"/>
  <c r="X34" i="2"/>
  <c r="AB34" i="2"/>
  <c r="AF34" i="2"/>
  <c r="AJ34" i="2"/>
  <c r="J35" i="2"/>
  <c r="N35" i="2"/>
  <c r="R35" i="2"/>
  <c r="V35" i="2"/>
  <c r="Z35" i="2"/>
  <c r="AD35" i="2"/>
  <c r="AH35" i="2"/>
  <c r="H36" i="2"/>
  <c r="L36" i="2"/>
  <c r="P36" i="2"/>
  <c r="T36" i="2"/>
  <c r="X36" i="2"/>
  <c r="AB36" i="2"/>
  <c r="AF36" i="2"/>
  <c r="J20" i="2"/>
  <c r="N20" i="2"/>
  <c r="R20" i="2"/>
  <c r="V20" i="2"/>
  <c r="Z20" i="2"/>
  <c r="AD20" i="2"/>
  <c r="AH20" i="2"/>
  <c r="K21" i="2"/>
  <c r="O21" i="2"/>
  <c r="S21" i="2"/>
  <c r="W21" i="2"/>
  <c r="AA21" i="2"/>
  <c r="AE21" i="2"/>
  <c r="AI21" i="2"/>
  <c r="I22" i="2"/>
  <c r="M22" i="2"/>
  <c r="Q22" i="2"/>
  <c r="U22" i="2"/>
  <c r="Y22" i="2"/>
  <c r="AC22" i="2"/>
  <c r="AG22" i="2"/>
  <c r="AK22" i="2"/>
  <c r="K23" i="2"/>
  <c r="O23" i="2"/>
  <c r="S23" i="2"/>
  <c r="W23" i="2"/>
  <c r="AA23" i="2"/>
  <c r="AE23" i="2"/>
  <c r="AI23" i="2"/>
  <c r="I24" i="2"/>
  <c r="M24" i="2"/>
  <c r="Q24" i="2"/>
  <c r="U24" i="2"/>
  <c r="Y24" i="2"/>
  <c r="AC24" i="2"/>
  <c r="AG24" i="2"/>
  <c r="AK24" i="2"/>
  <c r="K25" i="2"/>
  <c r="O25" i="2"/>
  <c r="S25" i="2"/>
  <c r="W25" i="2"/>
  <c r="AA25" i="2"/>
  <c r="AE25" i="2"/>
  <c r="AI25" i="2"/>
  <c r="I26" i="2"/>
  <c r="M26" i="2"/>
  <c r="Q26" i="2"/>
  <c r="U26" i="2"/>
  <c r="Y26" i="2"/>
  <c r="AC26" i="2"/>
  <c r="AG26" i="2"/>
  <c r="AK26" i="2"/>
  <c r="K27" i="2"/>
  <c r="O27" i="2"/>
  <c r="S27" i="2"/>
  <c r="W27" i="2"/>
  <c r="AA27" i="2"/>
  <c r="AE27" i="2"/>
  <c r="AI27" i="2"/>
  <c r="I28" i="2"/>
  <c r="M28" i="2"/>
  <c r="Q28" i="2"/>
  <c r="U28" i="2"/>
  <c r="Y28" i="2"/>
  <c r="AC28" i="2"/>
  <c r="AG28" i="2"/>
  <c r="AK28" i="2"/>
  <c r="K29" i="2"/>
  <c r="O29" i="2"/>
  <c r="S29" i="2"/>
  <c r="W29" i="2"/>
  <c r="AA29" i="2"/>
  <c r="AE29" i="2"/>
  <c r="AI29" i="2"/>
  <c r="I30" i="2"/>
  <c r="M30" i="2"/>
  <c r="Q30" i="2"/>
  <c r="U30" i="2"/>
  <c r="Y30" i="2"/>
  <c r="AC30" i="2"/>
  <c r="AG30" i="2"/>
  <c r="AK30" i="2"/>
  <c r="K31" i="2"/>
  <c r="O31" i="2"/>
  <c r="S31" i="2"/>
  <c r="W31" i="2"/>
  <c r="AA31" i="2"/>
  <c r="AE31" i="2"/>
  <c r="AI31" i="2"/>
  <c r="I32" i="2"/>
  <c r="M32" i="2"/>
  <c r="Q32" i="2"/>
  <c r="U32" i="2"/>
  <c r="Y32" i="2"/>
  <c r="AC32" i="2"/>
  <c r="AG32" i="2"/>
  <c r="AK32" i="2"/>
  <c r="K33" i="2"/>
  <c r="O33" i="2"/>
  <c r="S33" i="2"/>
  <c r="W33" i="2"/>
  <c r="AA33" i="2"/>
  <c r="AE33" i="2"/>
  <c r="AI33" i="2"/>
  <c r="I34" i="2"/>
  <c r="M34" i="2"/>
  <c r="Q34" i="2"/>
  <c r="U34" i="2"/>
  <c r="Y34" i="2"/>
  <c r="AC34" i="2"/>
  <c r="AG34" i="2"/>
  <c r="AK34" i="2"/>
  <c r="K35" i="2"/>
  <c r="O35" i="2"/>
  <c r="S35" i="2"/>
  <c r="W35" i="2"/>
  <c r="AA35" i="2"/>
  <c r="AE35" i="2"/>
  <c r="AI35" i="2"/>
  <c r="I36" i="2"/>
  <c r="M36" i="2"/>
  <c r="Q36" i="2"/>
  <c r="U36" i="2"/>
  <c r="Y36" i="2"/>
  <c r="K20" i="2"/>
  <c r="O20" i="2"/>
  <c r="S20" i="2"/>
  <c r="W20" i="2"/>
  <c r="AA20" i="2"/>
  <c r="AE20" i="2"/>
  <c r="AI20" i="2"/>
  <c r="H21" i="2"/>
  <c r="L21" i="2"/>
  <c r="P21" i="2"/>
  <c r="T21" i="2"/>
  <c r="X21" i="2"/>
  <c r="AB21" i="2"/>
  <c r="AF21" i="2"/>
  <c r="AJ21" i="2"/>
  <c r="J22" i="2"/>
  <c r="N22" i="2"/>
  <c r="R22" i="2"/>
  <c r="V22" i="2"/>
  <c r="Z22" i="2"/>
  <c r="AD22" i="2"/>
  <c r="AH22" i="2"/>
  <c r="H23" i="2"/>
  <c r="L23" i="2"/>
  <c r="P23" i="2"/>
  <c r="T23" i="2"/>
  <c r="X23" i="2"/>
  <c r="AB23" i="2"/>
  <c r="AF23" i="2"/>
  <c r="AJ23" i="2"/>
  <c r="J24" i="2"/>
  <c r="N24" i="2"/>
  <c r="R24" i="2"/>
  <c r="V24" i="2"/>
  <c r="Z24" i="2"/>
  <c r="AD24" i="2"/>
  <c r="AH24" i="2"/>
  <c r="H25" i="2"/>
  <c r="L25" i="2"/>
  <c r="P25" i="2"/>
  <c r="T25" i="2"/>
  <c r="X25" i="2"/>
  <c r="AB25" i="2"/>
  <c r="AF25" i="2"/>
  <c r="AJ25" i="2"/>
  <c r="J26" i="2"/>
  <c r="N26" i="2"/>
  <c r="R26" i="2"/>
  <c r="V26" i="2"/>
  <c r="Z26" i="2"/>
  <c r="AD26" i="2"/>
  <c r="AH26" i="2"/>
  <c r="H27" i="2"/>
  <c r="L27" i="2"/>
  <c r="P27" i="2"/>
  <c r="T27" i="2"/>
  <c r="X27" i="2"/>
  <c r="AB27" i="2"/>
  <c r="AF27" i="2"/>
  <c r="AJ27" i="2"/>
  <c r="J28" i="2"/>
  <c r="N28" i="2"/>
  <c r="R28" i="2"/>
  <c r="V28" i="2"/>
  <c r="Z28" i="2"/>
  <c r="AD28" i="2"/>
  <c r="AH28" i="2"/>
  <c r="H29" i="2"/>
  <c r="L29" i="2"/>
  <c r="P29" i="2"/>
  <c r="T29" i="2"/>
  <c r="X29" i="2"/>
  <c r="AB29" i="2"/>
  <c r="AF29" i="2"/>
  <c r="AJ29" i="2"/>
  <c r="J30" i="2"/>
  <c r="N30" i="2"/>
  <c r="R30" i="2"/>
  <c r="V30" i="2"/>
  <c r="Z30" i="2"/>
  <c r="AD30" i="2"/>
  <c r="AH30" i="2"/>
  <c r="H31" i="2"/>
  <c r="L31" i="2"/>
  <c r="P31" i="2"/>
  <c r="T31" i="2"/>
  <c r="X31" i="2"/>
  <c r="AB31" i="2"/>
  <c r="AF31" i="2"/>
  <c r="AJ31" i="2"/>
  <c r="J32" i="2"/>
  <c r="N32" i="2"/>
  <c r="R32" i="2"/>
  <c r="V32" i="2"/>
  <c r="Z32" i="2"/>
  <c r="AD32" i="2"/>
  <c r="AH32" i="2"/>
  <c r="H33" i="2"/>
  <c r="L33" i="2"/>
  <c r="P33" i="2"/>
  <c r="T33" i="2"/>
  <c r="X33" i="2"/>
  <c r="AB33" i="2"/>
  <c r="AF33" i="2"/>
  <c r="AJ33" i="2"/>
  <c r="J34" i="2"/>
  <c r="N34" i="2"/>
  <c r="R34" i="2"/>
  <c r="V34" i="2"/>
  <c r="Z34" i="2"/>
  <c r="AD34" i="2"/>
  <c r="AH34" i="2"/>
  <c r="H35" i="2"/>
  <c r="L35" i="2"/>
  <c r="P35" i="2"/>
  <c r="T35" i="2"/>
  <c r="X35" i="2"/>
  <c r="AB35" i="2"/>
  <c r="AF35" i="2"/>
  <c r="AJ35" i="2"/>
  <c r="J36" i="2"/>
  <c r="N36" i="2"/>
  <c r="R36" i="2"/>
  <c r="V36" i="2"/>
  <c r="Z36" i="2"/>
  <c r="AD36" i="2"/>
  <c r="AH36" i="2"/>
  <c r="H20" i="2"/>
  <c r="X20" i="2"/>
  <c r="U21" i="2"/>
  <c r="AK21" i="2"/>
  <c r="W22" i="2"/>
  <c r="I23" i="2"/>
  <c r="Y23" i="2"/>
  <c r="K24" i="2"/>
  <c r="AA24" i="2"/>
  <c r="M25" i="2"/>
  <c r="AC25" i="2"/>
  <c r="O26" i="2"/>
  <c r="AE26" i="2"/>
  <c r="Q27" i="2"/>
  <c r="AG27" i="2"/>
  <c r="S28" i="2"/>
  <c r="AI28" i="2"/>
  <c r="U29" i="2"/>
  <c r="AK29" i="2"/>
  <c r="W30" i="2"/>
  <c r="I31" i="2"/>
  <c r="Y31" i="2"/>
  <c r="K32" i="2"/>
  <c r="AA32" i="2"/>
  <c r="M33" i="2"/>
  <c r="AC33" i="2"/>
  <c r="O34" i="2"/>
  <c r="AE34" i="2"/>
  <c r="Q35" i="2"/>
  <c r="AG35" i="2"/>
  <c r="S36" i="2"/>
  <c r="AE36" i="2"/>
  <c r="AK36" i="2"/>
  <c r="K37" i="2"/>
  <c r="O37" i="2"/>
  <c r="S37" i="2"/>
  <c r="W37" i="2"/>
  <c r="AA37" i="2"/>
  <c r="AE37" i="2"/>
  <c r="AI37" i="2"/>
  <c r="I38" i="2"/>
  <c r="M38" i="2"/>
  <c r="Q38" i="2"/>
  <c r="U38" i="2"/>
  <c r="Y38" i="2"/>
  <c r="AC38" i="2"/>
  <c r="AG38" i="2"/>
  <c r="AK38" i="2"/>
  <c r="K39" i="2"/>
  <c r="O39" i="2"/>
  <c r="S39" i="2"/>
  <c r="W39" i="2"/>
  <c r="AA39" i="2"/>
  <c r="AE39" i="2"/>
  <c r="AI39" i="2"/>
  <c r="I40" i="2"/>
  <c r="M40" i="2"/>
  <c r="Q40" i="2"/>
  <c r="U40" i="2"/>
  <c r="Y40" i="2"/>
  <c r="AC40" i="2"/>
  <c r="AG40" i="2"/>
  <c r="AK40" i="2"/>
  <c r="K41" i="2"/>
  <c r="O41" i="2"/>
  <c r="S41" i="2"/>
  <c r="W41" i="2"/>
  <c r="AA41" i="2"/>
  <c r="AE41" i="2"/>
  <c r="AI41" i="2"/>
  <c r="I42" i="2"/>
  <c r="M42" i="2"/>
  <c r="Q42" i="2"/>
  <c r="U42" i="2"/>
  <c r="Y42" i="2"/>
  <c r="AC42" i="2"/>
  <c r="AG42" i="2"/>
  <c r="AK42" i="2"/>
  <c r="K43" i="2"/>
  <c r="O43" i="2"/>
  <c r="S43" i="2"/>
  <c r="W43" i="2"/>
  <c r="AA43" i="2"/>
  <c r="AE43" i="2"/>
  <c r="AI43" i="2"/>
  <c r="I44" i="2"/>
  <c r="M44" i="2"/>
  <c r="Q44" i="2"/>
  <c r="U44" i="2"/>
  <c r="Y44" i="2"/>
  <c r="AC44" i="2"/>
  <c r="AG44" i="2"/>
  <c r="AK44" i="2"/>
  <c r="K45" i="2"/>
  <c r="O45" i="2"/>
  <c r="S45" i="2"/>
  <c r="W45" i="2"/>
  <c r="AA45" i="2"/>
  <c r="AE45" i="2"/>
  <c r="AI45" i="2"/>
  <c r="I46" i="2"/>
  <c r="M46" i="2"/>
  <c r="Q46" i="2"/>
  <c r="U46" i="2"/>
  <c r="Y46" i="2"/>
  <c r="AC46" i="2"/>
  <c r="AG46" i="2"/>
  <c r="AK46" i="2"/>
  <c r="K47" i="2"/>
  <c r="O47" i="2"/>
  <c r="S47" i="2"/>
  <c r="W47" i="2"/>
  <c r="AA47" i="2"/>
  <c r="AE47" i="2"/>
  <c r="AI47" i="2"/>
  <c r="I48" i="2"/>
  <c r="M48" i="2"/>
  <c r="Q48" i="2"/>
  <c r="U48" i="2"/>
  <c r="Y48" i="2"/>
  <c r="AC48" i="2"/>
  <c r="AG48" i="2"/>
  <c r="AK48" i="2"/>
  <c r="K49" i="2"/>
  <c r="O49" i="2"/>
  <c r="S49" i="2"/>
  <c r="W49" i="2"/>
  <c r="L20" i="2"/>
  <c r="AB20" i="2"/>
  <c r="I21" i="2"/>
  <c r="Y21" i="2"/>
  <c r="K22" i="2"/>
  <c r="AA22" i="2"/>
  <c r="M23" i="2"/>
  <c r="AC23" i="2"/>
  <c r="O24" i="2"/>
  <c r="AE24" i="2"/>
  <c r="Q25" i="2"/>
  <c r="AG25" i="2"/>
  <c r="S26" i="2"/>
  <c r="AI26" i="2"/>
  <c r="U27" i="2"/>
  <c r="AK27" i="2"/>
  <c r="W28" i="2"/>
  <c r="I29" i="2"/>
  <c r="Y29" i="2"/>
  <c r="K30" i="2"/>
  <c r="AA30" i="2"/>
  <c r="M31" i="2"/>
  <c r="AC31" i="2"/>
  <c r="O32" i="2"/>
  <c r="AE32" i="2"/>
  <c r="Q33" i="2"/>
  <c r="AG33" i="2"/>
  <c r="S34" i="2"/>
  <c r="AI34" i="2"/>
  <c r="U35" i="2"/>
  <c r="AK35" i="2"/>
  <c r="W36" i="2"/>
  <c r="AG36" i="2"/>
  <c r="H37" i="2"/>
  <c r="L37" i="2"/>
  <c r="P37" i="2"/>
  <c r="T37" i="2"/>
  <c r="X37" i="2"/>
  <c r="AB37" i="2"/>
  <c r="AF37" i="2"/>
  <c r="AJ37" i="2"/>
  <c r="J38" i="2"/>
  <c r="N38" i="2"/>
  <c r="R38" i="2"/>
  <c r="V38" i="2"/>
  <c r="Z38" i="2"/>
  <c r="AD38" i="2"/>
  <c r="AH38" i="2"/>
  <c r="H39" i="2"/>
  <c r="L39" i="2"/>
  <c r="P39" i="2"/>
  <c r="T39" i="2"/>
  <c r="X39" i="2"/>
  <c r="AB39" i="2"/>
  <c r="AF39" i="2"/>
  <c r="AJ39" i="2"/>
  <c r="J40" i="2"/>
  <c r="N40" i="2"/>
  <c r="R40" i="2"/>
  <c r="V40" i="2"/>
  <c r="Z40" i="2"/>
  <c r="AD40" i="2"/>
  <c r="AH40" i="2"/>
  <c r="H41" i="2"/>
  <c r="L41" i="2"/>
  <c r="P41" i="2"/>
  <c r="T41" i="2"/>
  <c r="X41" i="2"/>
  <c r="AB41" i="2"/>
  <c r="AF41" i="2"/>
  <c r="AJ41" i="2"/>
  <c r="J42" i="2"/>
  <c r="N42" i="2"/>
  <c r="R42" i="2"/>
  <c r="V42" i="2"/>
  <c r="Z42" i="2"/>
  <c r="AD42" i="2"/>
  <c r="AH42" i="2"/>
  <c r="H43" i="2"/>
  <c r="L43" i="2"/>
  <c r="P43" i="2"/>
  <c r="T43" i="2"/>
  <c r="X43" i="2"/>
  <c r="AB43" i="2"/>
  <c r="AF43" i="2"/>
  <c r="AJ43" i="2"/>
  <c r="J44" i="2"/>
  <c r="N44" i="2"/>
  <c r="R44" i="2"/>
  <c r="V44" i="2"/>
  <c r="Z44" i="2"/>
  <c r="AD44" i="2"/>
  <c r="AH44" i="2"/>
  <c r="H45" i="2"/>
  <c r="L45" i="2"/>
  <c r="P45" i="2"/>
  <c r="T45" i="2"/>
  <c r="X45" i="2"/>
  <c r="AB45" i="2"/>
  <c r="AF45" i="2"/>
  <c r="AJ45" i="2"/>
  <c r="J46" i="2"/>
  <c r="N46" i="2"/>
  <c r="R46" i="2"/>
  <c r="V46" i="2"/>
  <c r="Z46" i="2"/>
  <c r="AD46" i="2"/>
  <c r="AH46" i="2"/>
  <c r="H47" i="2"/>
  <c r="L47" i="2"/>
  <c r="P47" i="2"/>
  <c r="T47" i="2"/>
  <c r="X47" i="2"/>
  <c r="AB47" i="2"/>
  <c r="AF47" i="2"/>
  <c r="AJ47" i="2"/>
  <c r="J48" i="2"/>
  <c r="N48" i="2"/>
  <c r="R48" i="2"/>
  <c r="V48" i="2"/>
  <c r="Z48" i="2"/>
  <c r="AD48" i="2"/>
  <c r="AH48" i="2"/>
  <c r="H49" i="2"/>
  <c r="L49" i="2"/>
  <c r="P20" i="2"/>
  <c r="AF20" i="2"/>
  <c r="M21" i="2"/>
  <c r="AC21" i="2"/>
  <c r="O22" i="2"/>
  <c r="AE22" i="2"/>
  <c r="Q23" i="2"/>
  <c r="AG23" i="2"/>
  <c r="S24" i="2"/>
  <c r="AI24" i="2"/>
  <c r="U25" i="2"/>
  <c r="AK25" i="2"/>
  <c r="W26" i="2"/>
  <c r="I27" i="2"/>
  <c r="Y27" i="2"/>
  <c r="K28" i="2"/>
  <c r="AA28" i="2"/>
  <c r="M29" i="2"/>
  <c r="AC29" i="2"/>
  <c r="O30" i="2"/>
  <c r="AE30" i="2"/>
  <c r="Q31" i="2"/>
  <c r="AG31" i="2"/>
  <c r="S32" i="2"/>
  <c r="AI32" i="2"/>
  <c r="U33" i="2"/>
  <c r="AK33" i="2"/>
  <c r="W34" i="2"/>
  <c r="I35" i="2"/>
  <c r="Y35" i="2"/>
  <c r="K36" i="2"/>
  <c r="AA36" i="2"/>
  <c r="AI36" i="2"/>
  <c r="I37" i="2"/>
  <c r="M37" i="2"/>
  <c r="Q37" i="2"/>
  <c r="U37" i="2"/>
  <c r="Y37" i="2"/>
  <c r="AC37" i="2"/>
  <c r="AG37" i="2"/>
  <c r="AK37" i="2"/>
  <c r="K38" i="2"/>
  <c r="O38" i="2"/>
  <c r="S38" i="2"/>
  <c r="W38" i="2"/>
  <c r="AA38" i="2"/>
  <c r="AE38" i="2"/>
  <c r="AI38" i="2"/>
  <c r="I39" i="2"/>
  <c r="M39" i="2"/>
  <c r="Q39" i="2"/>
  <c r="U39" i="2"/>
  <c r="Y39" i="2"/>
  <c r="AC39" i="2"/>
  <c r="AG39" i="2"/>
  <c r="AK39" i="2"/>
  <c r="K40" i="2"/>
  <c r="O40" i="2"/>
  <c r="S40" i="2"/>
  <c r="W40" i="2"/>
  <c r="AA40" i="2"/>
  <c r="AE40" i="2"/>
  <c r="AI40" i="2"/>
  <c r="I41" i="2"/>
  <c r="M41" i="2"/>
  <c r="Q41" i="2"/>
  <c r="U41" i="2"/>
  <c r="Y41" i="2"/>
  <c r="AC41" i="2"/>
  <c r="AG41" i="2"/>
  <c r="AK41" i="2"/>
  <c r="K42" i="2"/>
  <c r="O42" i="2"/>
  <c r="S42" i="2"/>
  <c r="W42" i="2"/>
  <c r="AA42" i="2"/>
  <c r="AE42" i="2"/>
  <c r="AI42" i="2"/>
  <c r="I43" i="2"/>
  <c r="M43" i="2"/>
  <c r="Q43" i="2"/>
  <c r="U43" i="2"/>
  <c r="Y43" i="2"/>
  <c r="AC43" i="2"/>
  <c r="AG43" i="2"/>
  <c r="AK43" i="2"/>
  <c r="K44" i="2"/>
  <c r="O44" i="2"/>
  <c r="S44" i="2"/>
  <c r="W44" i="2"/>
  <c r="AA44" i="2"/>
  <c r="AE44" i="2"/>
  <c r="AI44" i="2"/>
  <c r="I45" i="2"/>
  <c r="M45" i="2"/>
  <c r="Q45" i="2"/>
  <c r="U45" i="2"/>
  <c r="Y45" i="2"/>
  <c r="AC45" i="2"/>
  <c r="AG45" i="2"/>
  <c r="AK45" i="2"/>
  <c r="K46" i="2"/>
  <c r="O46" i="2"/>
  <c r="S46" i="2"/>
  <c r="W46" i="2"/>
  <c r="AA46" i="2"/>
  <c r="AE46" i="2"/>
  <c r="AI46" i="2"/>
  <c r="I47" i="2"/>
  <c r="M47" i="2"/>
  <c r="Q47" i="2"/>
  <c r="U47" i="2"/>
  <c r="Y47" i="2"/>
  <c r="AC47" i="2"/>
  <c r="AG47" i="2"/>
  <c r="AK47" i="2"/>
  <c r="K48" i="2"/>
  <c r="O48" i="2"/>
  <c r="S48" i="2"/>
  <c r="W48" i="2"/>
  <c r="AA48" i="2"/>
  <c r="AE48" i="2"/>
  <c r="AI48" i="2"/>
  <c r="I49" i="2"/>
  <c r="M49" i="2"/>
  <c r="Q21" i="2"/>
  <c r="U23" i="2"/>
  <c r="Y25" i="2"/>
  <c r="AC27" i="2"/>
  <c r="AG29" i="2"/>
  <c r="AK31" i="2"/>
  <c r="K34" i="2"/>
  <c r="O36" i="2"/>
  <c r="N37" i="2"/>
  <c r="AD37" i="2"/>
  <c r="P38" i="2"/>
  <c r="AF38" i="2"/>
  <c r="R39" i="2"/>
  <c r="AH39" i="2"/>
  <c r="T40" i="2"/>
  <c r="AJ40" i="2"/>
  <c r="V41" i="2"/>
  <c r="H42" i="2"/>
  <c r="X42" i="2"/>
  <c r="J43" i="2"/>
  <c r="Z43" i="2"/>
  <c r="L44" i="2"/>
  <c r="AB44" i="2"/>
  <c r="N45" i="2"/>
  <c r="AD45" i="2"/>
  <c r="P46" i="2"/>
  <c r="AF46" i="2"/>
  <c r="R47" i="2"/>
  <c r="AH47" i="2"/>
  <c r="T48" i="2"/>
  <c r="AJ48" i="2"/>
  <c r="Q49" i="2"/>
  <c r="V49" i="2"/>
  <c r="AA49" i="2"/>
  <c r="AE49" i="2"/>
  <c r="AI49" i="2"/>
  <c r="AF49" i="2"/>
  <c r="AK49" i="2"/>
  <c r="AI22" i="2"/>
  <c r="Q29" i="2"/>
  <c r="AC35" i="2"/>
  <c r="L38" i="2"/>
  <c r="AD39" i="2"/>
  <c r="R41" i="2"/>
  <c r="AJ42" i="2"/>
  <c r="X44" i="2"/>
  <c r="L46" i="2"/>
  <c r="AD47" i="2"/>
  <c r="P49" i="2"/>
  <c r="Z49" i="2"/>
  <c r="T20" i="2"/>
  <c r="AG21" i="2"/>
  <c r="AK23" i="2"/>
  <c r="K26" i="2"/>
  <c r="O28" i="2"/>
  <c r="S30" i="2"/>
  <c r="W32" i="2"/>
  <c r="AA34" i="2"/>
  <c r="AC36" i="2"/>
  <c r="R37" i="2"/>
  <c r="AH37" i="2"/>
  <c r="T38" i="2"/>
  <c r="AJ38" i="2"/>
  <c r="V39" i="2"/>
  <c r="H40" i="2"/>
  <c r="X40" i="2"/>
  <c r="J41" i="2"/>
  <c r="Z41" i="2"/>
  <c r="L42" i="2"/>
  <c r="AB42" i="2"/>
  <c r="N43" i="2"/>
  <c r="AD43" i="2"/>
  <c r="P44" i="2"/>
  <c r="AF44" i="2"/>
  <c r="R45" i="2"/>
  <c r="AH45" i="2"/>
  <c r="T46" i="2"/>
  <c r="AJ46" i="2"/>
  <c r="V47" i="2"/>
  <c r="H48" i="2"/>
  <c r="X48" i="2"/>
  <c r="J49" i="2"/>
  <c r="R49" i="2"/>
  <c r="X49" i="2"/>
  <c r="AB49" i="2"/>
  <c r="AJ49" i="2"/>
  <c r="M27" i="2"/>
  <c r="Y33" i="2"/>
  <c r="Z37" i="2"/>
  <c r="N39" i="2"/>
  <c r="P40" i="2"/>
  <c r="AH41" i="2"/>
  <c r="H44" i="2"/>
  <c r="J45" i="2"/>
  <c r="AB46" i="2"/>
  <c r="P48" i="2"/>
  <c r="AD49" i="2"/>
  <c r="AJ20" i="2"/>
  <c r="S22" i="2"/>
  <c r="W24" i="2"/>
  <c r="AA26" i="2"/>
  <c r="AE28" i="2"/>
  <c r="AI30" i="2"/>
  <c r="I33" i="2"/>
  <c r="M35" i="2"/>
  <c r="AJ36" i="2"/>
  <c r="V37" i="2"/>
  <c r="H38" i="2"/>
  <c r="X38" i="2"/>
  <c r="J39" i="2"/>
  <c r="Z39" i="2"/>
  <c r="L40" i="2"/>
  <c r="AB40" i="2"/>
  <c r="N41" i="2"/>
  <c r="AD41" i="2"/>
  <c r="P42" i="2"/>
  <c r="AF42" i="2"/>
  <c r="R43" i="2"/>
  <c r="AH43" i="2"/>
  <c r="T44" i="2"/>
  <c r="AJ44" i="2"/>
  <c r="V45" i="2"/>
  <c r="H46" i="2"/>
  <c r="X46" i="2"/>
  <c r="J47" i="2"/>
  <c r="Z47" i="2"/>
  <c r="L48" i="2"/>
  <c r="AB48" i="2"/>
  <c r="N49" i="2"/>
  <c r="T49" i="2"/>
  <c r="Y49" i="2"/>
  <c r="AC49" i="2"/>
  <c r="AG49" i="2"/>
  <c r="I25" i="2"/>
  <c r="U31" i="2"/>
  <c r="J37" i="2"/>
  <c r="AB38" i="2"/>
  <c r="AF40" i="2"/>
  <c r="T42" i="2"/>
  <c r="V43" i="2"/>
  <c r="Z45" i="2"/>
  <c r="N47" i="2"/>
  <c r="AF48" i="2"/>
  <c r="U49" i="2"/>
  <c r="AH49" i="2"/>
  <c r="C5" i="9"/>
  <c r="C8" i="2"/>
  <c r="C7" i="2"/>
  <c r="C4" i="11"/>
  <c r="C7" i="11" s="1"/>
  <c r="C6" i="8"/>
  <c r="C9" i="2"/>
  <c r="C5" i="11"/>
  <c r="C6" i="2"/>
  <c r="B8" i="1"/>
</calcChain>
</file>

<file path=xl/sharedStrings.xml><?xml version="1.0" encoding="utf-8"?>
<sst xmlns="http://schemas.openxmlformats.org/spreadsheetml/2006/main" count="61" uniqueCount="42">
  <si>
    <t xml:space="preserve">Bivariate Normal Density : </t>
  </si>
  <si>
    <t>For drop down menu</t>
  </si>
  <si>
    <t>Cumulative Trivariate Normal Distribution Function (CTND)</t>
  </si>
  <si>
    <t>Normal Distribution</t>
  </si>
  <si>
    <t xml:space="preserve">ND : </t>
  </si>
  <si>
    <t>Hart</t>
  </si>
  <si>
    <t xml:space="preserve">Polynomial : </t>
  </si>
  <si>
    <t>Polynomial</t>
  </si>
  <si>
    <t>Normal Distribution Function (ND)</t>
  </si>
  <si>
    <t>Bivariate Normal Distribution Function (BND)</t>
  </si>
  <si>
    <t xml:space="preserve">Inverse : </t>
  </si>
  <si>
    <t>x</t>
  </si>
  <si>
    <t>y</t>
  </si>
  <si>
    <t>z</t>
  </si>
  <si>
    <t>rho(x,y)</t>
  </si>
  <si>
    <t>rho(x,z)</t>
  </si>
  <si>
    <t>rho(y,z)</t>
  </si>
  <si>
    <t>Bivariate Cumulative Normal Distribution</t>
  </si>
  <si>
    <t>Drezner-78</t>
  </si>
  <si>
    <t>Genze</t>
  </si>
  <si>
    <t>On</t>
  </si>
  <si>
    <t>Off</t>
  </si>
  <si>
    <t xml:space="preserve">Drezner-78 : </t>
  </si>
  <si>
    <t>Drez-Weso</t>
  </si>
  <si>
    <t xml:space="preserve">Hart : </t>
  </si>
  <si>
    <t>x :</t>
  </si>
  <si>
    <t>Genz Cumulative Trivariate Normal Distribution Algorithm</t>
  </si>
  <si>
    <t>Contents/Spreadsheet index</t>
  </si>
  <si>
    <t>Sheet #</t>
  </si>
  <si>
    <t>Cumulative Normal Distribution</t>
  </si>
  <si>
    <t xml:space="preserve">Drezner-Wesolowsky fast (1) : </t>
  </si>
  <si>
    <t>Drez-Weso fast</t>
  </si>
  <si>
    <t>For drop down menus</t>
  </si>
  <si>
    <t>Improved by Graeme West</t>
  </si>
  <si>
    <t xml:space="preserve">Drezner-Wesolowsky (2) : </t>
  </si>
  <si>
    <t xml:space="preserve">Stadev : </t>
  </si>
  <si>
    <t>Bivariate Normal Distribution</t>
  </si>
  <si>
    <t xml:space="preserve">Genz : </t>
  </si>
  <si>
    <t>Cumulative Normal Distribution Functions (CND)</t>
  </si>
  <si>
    <t>Cumulative Bivariate Normal Distribution Functions (CBND)</t>
  </si>
  <si>
    <t xml:space="preserve">Normsdist : </t>
  </si>
  <si>
    <t>Distributions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</si>
</sst>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64" formatCode="0.00000000"/>
    <numFmt numFmtId="165" formatCode="0.0000000"/>
    <numFmt numFmtId="166" formatCode="0.000000"/>
    <numFmt numFmtId="167" formatCode="0.00000"/>
    <numFmt numFmtId="169" formatCode="0.0"/>
    <numFmt numFmtId="170" formatCode="0.000"/>
    <numFmt numFmtId="173" formatCode="0.00000000000"/>
    <numFmt numFmtId="174" formatCode="0.000000000000"/>
    <numFmt numFmtId="175" formatCode="0.0000000000000"/>
    <numFmt numFmtId="196" formatCode="_ &quot;kr&quot;\ * #,##0_ ;_ &quot;kr&quot;\ * \-#,##0_ ;_ &quot;kr&quot;\ * &quot;-&quot;_ ;_ @_ "/>
    <numFmt numFmtId="197" formatCode="_ * #,##0_ ;_ * \-#,##0_ ;_ * &quot;-&quot;_ ;_ @_ "/>
    <numFmt numFmtId="198" formatCode="_ &quot;kr&quot;\ * #,##0.00_ ;_ &quot;kr&quot;\ * \-#,##0.00_ ;_ &quot;kr&quot;\ * &quot;-&quot;??_ ;_ @_ "/>
    <numFmt numFmtId="199" formatCode="_ * #,##0.00_ ;_ * \-#,##0.00_ ;_ * &quot;-&quot;??_ ;_ @_ "/>
  </numFmts>
  <fonts count="17">
    <font>
      <sz val="10"/>
      <name val="Verdana"/>
    </font>
    <font>
      <b/>
      <sz val="10"/>
      <name val="Verdana"/>
    </font>
    <font>
      <b/>
      <sz val="12"/>
      <name val="Arial"/>
    </font>
    <font>
      <sz val="8"/>
      <name val="Verdana"/>
    </font>
    <font>
      <b/>
      <sz val="10"/>
      <name val="Arial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Verdana"/>
    </font>
    <font>
      <sz val="9"/>
      <name val="Geneva"/>
    </font>
    <font>
      <sz val="10"/>
      <name val="Arial"/>
    </font>
    <font>
      <u/>
      <sz val="9"/>
      <color indexed="61"/>
      <name val="Geneva"/>
    </font>
    <font>
      <u/>
      <sz val="9"/>
      <color indexed="12"/>
      <name val="Geneva"/>
    </font>
    <font>
      <sz val="10"/>
      <name val="Geneva"/>
    </font>
    <font>
      <b/>
      <sz val="24"/>
      <color indexed="56"/>
      <name val="Geneva"/>
    </font>
    <font>
      <b/>
      <sz val="18"/>
      <color indexed="17"/>
      <name val="Geneva"/>
    </font>
    <font>
      <sz val="10"/>
      <color indexed="8"/>
      <name val="Geneva"/>
    </font>
    <font>
      <b/>
      <sz val="9"/>
      <color indexed="58"/>
      <name val="Geneva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/>
  </cellStyleXfs>
  <cellXfs count="73">
    <xf numFmtId="0" fontId="0" fillId="0" borderId="0" xfId="0"/>
    <xf numFmtId="0" fontId="4" fillId="0" borderId="0" xfId="0" quotePrefix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2" fillId="0" borderId="0" xfId="0" applyFont="1"/>
    <xf numFmtId="0" fontId="4" fillId="0" borderId="0" xfId="0" applyFont="1" applyAlignment="1">
      <alignment horizontal="right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2" fontId="7" fillId="0" borderId="0" xfId="0" applyNumberFormat="1" applyFont="1"/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164" fontId="6" fillId="3" borderId="1" xfId="0" applyNumberFormat="1" applyFont="1" applyFill="1" applyBorder="1"/>
    <xf numFmtId="164" fontId="6" fillId="3" borderId="2" xfId="0" applyNumberFormat="1" applyFont="1" applyFill="1" applyBorder="1"/>
    <xf numFmtId="164" fontId="6" fillId="3" borderId="3" xfId="0" applyNumberFormat="1" applyFont="1" applyFill="1" applyBorder="1"/>
    <xf numFmtId="0" fontId="4" fillId="0" borderId="0" xfId="0" applyFont="1" applyBorder="1" applyAlignment="1">
      <alignment horizontal="right"/>
    </xf>
    <xf numFmtId="175" fontId="5" fillId="0" borderId="7" xfId="0" applyNumberFormat="1" applyFont="1" applyBorder="1" applyAlignment="1">
      <alignment horizontal="center"/>
    </xf>
    <xf numFmtId="166" fontId="5" fillId="0" borderId="8" xfId="0" applyNumberFormat="1" applyFont="1" applyBorder="1"/>
    <xf numFmtId="166" fontId="5" fillId="0" borderId="9" xfId="0" applyNumberFormat="1" applyFont="1" applyBorder="1"/>
    <xf numFmtId="165" fontId="5" fillId="0" borderId="10" xfId="0" applyNumberFormat="1" applyFont="1" applyBorder="1"/>
    <xf numFmtId="166" fontId="6" fillId="3" borderId="7" xfId="0" applyNumberFormat="1" applyFont="1" applyFill="1" applyBorder="1"/>
    <xf numFmtId="167" fontId="5" fillId="0" borderId="11" xfId="0" applyNumberFormat="1" applyFont="1" applyBorder="1"/>
    <xf numFmtId="167" fontId="5" fillId="0" borderId="12" xfId="0" applyNumberFormat="1" applyFont="1" applyBorder="1"/>
    <xf numFmtId="167" fontId="5" fillId="0" borderId="13" xfId="0" applyNumberFormat="1" applyFont="1" applyBorder="1"/>
    <xf numFmtId="0" fontId="13" fillId="0" borderId="0" xfId="1" applyFont="1" applyAlignment="1">
      <alignment horizontal="left"/>
    </xf>
    <xf numFmtId="0" fontId="8" fillId="0" borderId="0" xfId="1"/>
    <xf numFmtId="0" fontId="14" fillId="0" borderId="0" xfId="1" applyFont="1" applyAlignment="1">
      <alignment horizontal="left"/>
    </xf>
    <xf numFmtId="0" fontId="15" fillId="0" borderId="0" xfId="1" applyFont="1" applyAlignment="1">
      <alignment horizontal="left"/>
    </xf>
    <xf numFmtId="0" fontId="8" fillId="0" borderId="0" xfId="1" applyAlignment="1">
      <alignment horizontal="center"/>
    </xf>
    <xf numFmtId="0" fontId="16" fillId="0" borderId="0" xfId="1" applyFont="1"/>
    <xf numFmtId="0" fontId="15" fillId="0" borderId="0" xfId="1" applyFont="1" applyAlignment="1">
      <alignment horizontal="center"/>
    </xf>
    <xf numFmtId="0" fontId="15" fillId="0" borderId="0" xfId="1" applyFont="1"/>
    <xf numFmtId="0" fontId="0" fillId="0" borderId="4" xfId="0" applyBorder="1"/>
    <xf numFmtId="169" fontId="0" fillId="0" borderId="5" xfId="0" applyNumberFormat="1" applyBorder="1"/>
    <xf numFmtId="169" fontId="0" fillId="0" borderId="6" xfId="0" applyNumberFormat="1" applyBorder="1"/>
    <xf numFmtId="2" fontId="0" fillId="0" borderId="14" xfId="0" applyNumberFormat="1" applyBorder="1"/>
    <xf numFmtId="2" fontId="6" fillId="3" borderId="0" xfId="0" applyNumberFormat="1" applyFont="1" applyFill="1" applyBorder="1"/>
    <xf numFmtId="2" fontId="6" fillId="3" borderId="15" xfId="0" applyNumberFormat="1" applyFont="1" applyFill="1" applyBorder="1"/>
    <xf numFmtId="2" fontId="0" fillId="0" borderId="8" xfId="0" applyNumberFormat="1" applyBorder="1"/>
    <xf numFmtId="2" fontId="6" fillId="3" borderId="9" xfId="0" applyNumberFormat="1" applyFont="1" applyFill="1" applyBorder="1"/>
    <xf numFmtId="2" fontId="6" fillId="3" borderId="10" xfId="0" applyNumberFormat="1" applyFont="1" applyFill="1" applyBorder="1"/>
    <xf numFmtId="2" fontId="6" fillId="3" borderId="4" xfId="0" applyNumberFormat="1" applyFont="1" applyFill="1" applyBorder="1"/>
    <xf numFmtId="2" fontId="6" fillId="3" borderId="5" xfId="0" applyNumberFormat="1" applyFont="1" applyFill="1" applyBorder="1"/>
    <xf numFmtId="2" fontId="6" fillId="3" borderId="6" xfId="0" applyNumberFormat="1" applyFont="1" applyFill="1" applyBorder="1"/>
    <xf numFmtId="2" fontId="6" fillId="3" borderId="14" xfId="0" applyNumberFormat="1" applyFont="1" applyFill="1" applyBorder="1"/>
    <xf numFmtId="2" fontId="6" fillId="3" borderId="8" xfId="0" applyNumberFormat="1" applyFont="1" applyFill="1" applyBorder="1"/>
    <xf numFmtId="0" fontId="0" fillId="2" borderId="4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" xfId="0" applyFill="1" applyBorder="1"/>
    <xf numFmtId="0" fontId="4" fillId="2" borderId="2" xfId="0" applyFont="1" applyFill="1" applyBorder="1" applyAlignment="1">
      <alignment horizontal="right"/>
    </xf>
    <xf numFmtId="0" fontId="4" fillId="2" borderId="3" xfId="0" applyFont="1" applyFill="1" applyBorder="1" applyAlignment="1">
      <alignment horizontal="right"/>
    </xf>
    <xf numFmtId="164" fontId="6" fillId="3" borderId="7" xfId="0" applyNumberFormat="1" applyFont="1" applyFill="1" applyBorder="1"/>
    <xf numFmtId="2" fontId="0" fillId="0" borderId="4" xfId="0" applyNumberFormat="1" applyBorder="1"/>
    <xf numFmtId="170" fontId="6" fillId="3" borderId="6" xfId="0" applyNumberFormat="1" applyFont="1" applyFill="1" applyBorder="1"/>
    <xf numFmtId="170" fontId="6" fillId="3" borderId="15" xfId="0" applyNumberFormat="1" applyFont="1" applyFill="1" applyBorder="1"/>
    <xf numFmtId="170" fontId="6" fillId="3" borderId="10" xfId="0" applyNumberFormat="1" applyFont="1" applyFill="1" applyBorder="1"/>
    <xf numFmtId="174" fontId="6" fillId="3" borderId="7" xfId="0" applyNumberFormat="1" applyFont="1" applyFill="1" applyBorder="1"/>
    <xf numFmtId="0" fontId="0" fillId="2" borderId="6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175" fontId="5" fillId="0" borderId="1" xfId="0" applyNumberFormat="1" applyFont="1" applyBorder="1" applyAlignment="1">
      <alignment horizontal="center"/>
    </xf>
    <xf numFmtId="174" fontId="6" fillId="3" borderId="1" xfId="0" applyNumberFormat="1" applyFont="1" applyFill="1" applyBorder="1"/>
    <xf numFmtId="174" fontId="6" fillId="3" borderId="3" xfId="0" applyNumberFormat="1" applyFont="1" applyFill="1" applyBorder="1"/>
    <xf numFmtId="170" fontId="6" fillId="3" borderId="1" xfId="0" applyNumberFormat="1" applyFont="1" applyFill="1" applyBorder="1"/>
    <xf numFmtId="170" fontId="6" fillId="3" borderId="2" xfId="0" applyNumberFormat="1" applyFont="1" applyFill="1" applyBorder="1"/>
    <xf numFmtId="170" fontId="6" fillId="3" borderId="3" xfId="0" applyNumberFormat="1" applyFont="1" applyFill="1" applyBorder="1"/>
    <xf numFmtId="173" fontId="0" fillId="0" borderId="0" xfId="0" applyNumberFormat="1"/>
    <xf numFmtId="0" fontId="4" fillId="0" borderId="0" xfId="0" applyFont="1" applyFill="1" applyBorder="1" applyAlignment="1">
      <alignment horizontal="right"/>
    </xf>
    <xf numFmtId="0" fontId="8" fillId="0" borderId="0" xfId="1" applyFont="1"/>
  </cellXfs>
  <cellStyles count="2">
    <cellStyle name="Normal" xfId="0" builtinId="0"/>
    <cellStyle name="Normal_PlainVanilla.xls" xfId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28034417619601"/>
          <c:y val="7.6435721087838998E-2"/>
          <c:w val="0.84896240923337218"/>
          <c:h val="0.687921489790550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63AAFE"/>
              </a:solidFill>
              <a:prstDash val="solid"/>
            </a:ln>
          </c:spPr>
          <c:marker>
            <c:symbol val="none"/>
          </c:marker>
          <c:cat>
            <c:numRef>
              <c:f>'1.ND'!$G$6:$G$35</c:f>
              <c:numCache>
                <c:formatCode>0.00</c:formatCode>
                <c:ptCount val="30"/>
                <c:pt idx="0">
                  <c:v>-4</c:v>
                </c:pt>
                <c:pt idx="1">
                  <c:v>-3.7241379310344827</c:v>
                </c:pt>
                <c:pt idx="2">
                  <c:v>-3.4482758620689653</c:v>
                </c:pt>
                <c:pt idx="3">
                  <c:v>-3.172413793103448</c:v>
                </c:pt>
                <c:pt idx="4">
                  <c:v>-2.8965517241379306</c:v>
                </c:pt>
                <c:pt idx="5">
                  <c:v>-2.6206896551724133</c:v>
                </c:pt>
                <c:pt idx="6">
                  <c:v>-2.3448275862068959</c:v>
                </c:pt>
                <c:pt idx="7">
                  <c:v>-2.0689655172413786</c:v>
                </c:pt>
                <c:pt idx="8">
                  <c:v>-1.7931034482758612</c:v>
                </c:pt>
                <c:pt idx="9">
                  <c:v>-1.5172413793103439</c:v>
                </c:pt>
                <c:pt idx="10">
                  <c:v>-1.2413793103448265</c:v>
                </c:pt>
                <c:pt idx="11">
                  <c:v>-0.96551724137930928</c:v>
                </c:pt>
                <c:pt idx="12">
                  <c:v>-0.68965517241379204</c:v>
                </c:pt>
                <c:pt idx="13">
                  <c:v>-0.4137931034482748</c:v>
                </c:pt>
                <c:pt idx="14">
                  <c:v>-0.13793103448275756</c:v>
                </c:pt>
                <c:pt idx="15">
                  <c:v>0.13793103448275967</c:v>
                </c:pt>
                <c:pt idx="16">
                  <c:v>0.41379310344827691</c:v>
                </c:pt>
                <c:pt idx="17">
                  <c:v>0.68965517241379415</c:v>
                </c:pt>
                <c:pt idx="18">
                  <c:v>0.96551724137931139</c:v>
                </c:pt>
                <c:pt idx="19">
                  <c:v>1.2413793103448287</c:v>
                </c:pt>
                <c:pt idx="20">
                  <c:v>1.5172413793103461</c:v>
                </c:pt>
                <c:pt idx="21">
                  <c:v>1.7931034482758634</c:v>
                </c:pt>
                <c:pt idx="22">
                  <c:v>2.0689655172413808</c:v>
                </c:pt>
                <c:pt idx="23">
                  <c:v>2.3448275862068981</c:v>
                </c:pt>
                <c:pt idx="24">
                  <c:v>2.6206896551724155</c:v>
                </c:pt>
                <c:pt idx="25">
                  <c:v>2.8965517241379328</c:v>
                </c:pt>
                <c:pt idx="26">
                  <c:v>3.1724137931034502</c:v>
                </c:pt>
                <c:pt idx="27">
                  <c:v>3.4482758620689675</c:v>
                </c:pt>
                <c:pt idx="28">
                  <c:v>3.7241379310344849</c:v>
                </c:pt>
                <c:pt idx="29">
                  <c:v>4.0000000000000018</c:v>
                </c:pt>
              </c:numCache>
            </c:numRef>
          </c:cat>
          <c:val>
            <c:numRef>
              <c:f>'1.ND'!$H$6:$H$35</c:f>
              <c:numCache>
                <c:formatCode>0.000</c:formatCode>
                <c:ptCount val="30"/>
                <c:pt idx="0">
                  <c:v>1.3383022576488542E-4</c:v>
                </c:pt>
                <c:pt idx="1">
                  <c:v>3.8837460865859139E-4</c:v>
                </c:pt>
                <c:pt idx="2">
                  <c:v>1.0444741315014051E-3</c:v>
                </c:pt>
                <c:pt idx="3">
                  <c:v>2.6031235996958561E-3</c:v>
                </c:pt>
                <c:pt idx="4">
                  <c:v>6.0123206199931972E-3</c:v>
                </c:pt>
                <c:pt idx="5">
                  <c:v>1.2868849342238827E-2</c:v>
                </c:pt>
                <c:pt idx="6">
                  <c:v>2.5526280805375372E-2</c:v>
                </c:pt>
                <c:pt idx="7">
                  <c:v>4.6922982622084615E-2</c:v>
                </c:pt>
                <c:pt idx="8">
                  <c:v>7.9934436720120711E-2</c:v>
                </c:pt>
                <c:pt idx="9">
                  <c:v>0.12619218772033683</c:v>
                </c:pt>
                <c:pt idx="10">
                  <c:v>0.18462106916324461</c:v>
                </c:pt>
                <c:pt idx="11">
                  <c:v>0.25031120759344866</c:v>
                </c:pt>
                <c:pt idx="12">
                  <c:v>0.31450646027954415</c:v>
                </c:pt>
                <c:pt idx="13">
                  <c:v>0.36620906257573199</c:v>
                </c:pt>
                <c:pt idx="14">
                  <c:v>0.39516534041185825</c:v>
                </c:pt>
                <c:pt idx="15">
                  <c:v>0.39516534041185813</c:v>
                </c:pt>
                <c:pt idx="16">
                  <c:v>0.36620906257573166</c:v>
                </c:pt>
                <c:pt idx="17">
                  <c:v>0.31450646027954371</c:v>
                </c:pt>
                <c:pt idx="18">
                  <c:v>0.25031120759344816</c:v>
                </c:pt>
                <c:pt idx="19">
                  <c:v>0.18462106916324411</c:v>
                </c:pt>
                <c:pt idx="20">
                  <c:v>0.12619218772033639</c:v>
                </c:pt>
                <c:pt idx="21">
                  <c:v>7.9934436720120405E-2</c:v>
                </c:pt>
                <c:pt idx="22">
                  <c:v>4.6922982622084407E-2</c:v>
                </c:pt>
                <c:pt idx="23">
                  <c:v>2.5526280805375241E-2</c:v>
                </c:pt>
                <c:pt idx="24">
                  <c:v>1.2868849342238748E-2</c:v>
                </c:pt>
                <c:pt idx="25">
                  <c:v>6.0123206199931599E-3</c:v>
                </c:pt>
                <c:pt idx="26">
                  <c:v>2.6031235996958374E-3</c:v>
                </c:pt>
                <c:pt idx="27">
                  <c:v>1.0444741315013969E-3</c:v>
                </c:pt>
                <c:pt idx="28">
                  <c:v>3.883746086585883E-4</c:v>
                </c:pt>
                <c:pt idx="29">
                  <c:v>1.3383022576488447E-4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D9-4DE0-B8B1-9E6D66C53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7877231"/>
        <c:axId val="1"/>
      </c:lineChart>
      <c:catAx>
        <c:axId val="2578772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53193133410612292"/>
              <c:y val="0.894934901070114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257877231"/>
        <c:crosses val="autoZero"/>
        <c:crossBetween val="between"/>
      </c:valAx>
      <c:spPr>
        <a:solidFill>
          <a:srgbClr val="CDCDCD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28034417619601"/>
          <c:y val="7.6435721087838998E-2"/>
          <c:w val="0.84896240923337218"/>
          <c:h val="0.687921489790550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63AAFE"/>
              </a:solidFill>
              <a:prstDash val="solid"/>
            </a:ln>
          </c:spPr>
          <c:marker>
            <c:symbol val="none"/>
          </c:marker>
          <c:cat>
            <c:numRef>
              <c:f>'2.CND'!$G$5:$G$34</c:f>
              <c:numCache>
                <c:formatCode>0.00</c:formatCode>
                <c:ptCount val="30"/>
                <c:pt idx="0">
                  <c:v>-10</c:v>
                </c:pt>
                <c:pt idx="1">
                  <c:v>-9.3103448275862064</c:v>
                </c:pt>
                <c:pt idx="2">
                  <c:v>-8.6206896551724128</c:v>
                </c:pt>
                <c:pt idx="3">
                  <c:v>-7.9310344827586192</c:v>
                </c:pt>
                <c:pt idx="4">
                  <c:v>-7.2413793103448256</c:v>
                </c:pt>
                <c:pt idx="5">
                  <c:v>-6.551724137931032</c:v>
                </c:pt>
                <c:pt idx="6">
                  <c:v>-5.8620689655172384</c:v>
                </c:pt>
                <c:pt idx="7">
                  <c:v>-5.1724137931034448</c:v>
                </c:pt>
                <c:pt idx="8">
                  <c:v>-4.4827586206896513</c:v>
                </c:pt>
                <c:pt idx="9">
                  <c:v>-3.7931034482758581</c:v>
                </c:pt>
                <c:pt idx="10">
                  <c:v>-3.103448275862065</c:v>
                </c:pt>
                <c:pt idx="11">
                  <c:v>-2.4137931034482718</c:v>
                </c:pt>
                <c:pt idx="12">
                  <c:v>-1.7241379310344787</c:v>
                </c:pt>
                <c:pt idx="13">
                  <c:v>-1.0344827586206855</c:v>
                </c:pt>
                <c:pt idx="14">
                  <c:v>-0.34482758620689236</c:v>
                </c:pt>
                <c:pt idx="15">
                  <c:v>0.34482758620690079</c:v>
                </c:pt>
                <c:pt idx="16">
                  <c:v>1.0344827586206939</c:v>
                </c:pt>
                <c:pt idx="17">
                  <c:v>1.7241379310344871</c:v>
                </c:pt>
                <c:pt idx="18">
                  <c:v>2.4137931034482802</c:v>
                </c:pt>
                <c:pt idx="19">
                  <c:v>3.1034482758620734</c:v>
                </c:pt>
                <c:pt idx="20">
                  <c:v>3.7931034482758665</c:v>
                </c:pt>
                <c:pt idx="21">
                  <c:v>4.4827586206896601</c:v>
                </c:pt>
                <c:pt idx="22">
                  <c:v>5.1724137931034537</c:v>
                </c:pt>
                <c:pt idx="23">
                  <c:v>5.8620689655172473</c:v>
                </c:pt>
                <c:pt idx="24">
                  <c:v>6.5517241379310409</c:v>
                </c:pt>
                <c:pt idx="25">
                  <c:v>7.2413793103448345</c:v>
                </c:pt>
                <c:pt idx="26">
                  <c:v>7.9310344827586281</c:v>
                </c:pt>
                <c:pt idx="27">
                  <c:v>8.6206896551724217</c:v>
                </c:pt>
                <c:pt idx="28">
                  <c:v>9.3103448275862153</c:v>
                </c:pt>
                <c:pt idx="29">
                  <c:v>10.000000000000009</c:v>
                </c:pt>
              </c:numCache>
            </c:numRef>
          </c:cat>
          <c:val>
            <c:numRef>
              <c:f>'2.CND'!$H$5:$H$34</c:f>
              <c:numCache>
                <c:formatCode>0.000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1.1102230246251565E-15</c:v>
                </c:pt>
                <c:pt idx="4">
                  <c:v>2.2370993946196904E-13</c:v>
                </c:pt>
                <c:pt idx="5">
                  <c:v>2.8582691768974655E-11</c:v>
                </c:pt>
                <c:pt idx="6">
                  <c:v>2.2931067045206532E-9</c:v>
                </c:pt>
                <c:pt idx="7">
                  <c:v>1.157595881373652E-7</c:v>
                </c:pt>
                <c:pt idx="8">
                  <c:v>3.687537027730059E-6</c:v>
                </c:pt>
                <c:pt idx="9">
                  <c:v>7.4412850031291278E-5</c:v>
                </c:pt>
                <c:pt idx="10">
                  <c:v>9.5646626517897904E-4</c:v>
                </c:pt>
                <c:pt idx="11">
                  <c:v>7.8937081044455626E-3</c:v>
                </c:pt>
                <c:pt idx="12">
                  <c:v>4.2341435784757464E-2</c:v>
                </c:pt>
                <c:pt idx="13">
                  <c:v>0.15045528518699913</c:v>
                </c:pt>
                <c:pt idx="14">
                  <c:v>0.36511205815664705</c:v>
                </c:pt>
                <c:pt idx="15">
                  <c:v>0.63488794184335606</c:v>
                </c:pt>
                <c:pt idx="16">
                  <c:v>0.84954471481300287</c:v>
                </c:pt>
                <c:pt idx="17">
                  <c:v>0.95765856421524331</c:v>
                </c:pt>
                <c:pt idx="18">
                  <c:v>0.99210629189555466</c:v>
                </c:pt>
                <c:pt idx="19">
                  <c:v>0.99904353373482102</c:v>
                </c:pt>
                <c:pt idx="20">
                  <c:v>0.99992558714996871</c:v>
                </c:pt>
                <c:pt idx="21">
                  <c:v>0.99999631246297227</c:v>
                </c:pt>
                <c:pt idx="22">
                  <c:v>0.99999988424041186</c:v>
                </c:pt>
                <c:pt idx="23">
                  <c:v>0.9999999977068933</c:v>
                </c:pt>
                <c:pt idx="24">
                  <c:v>0.99999999997141731</c:v>
                </c:pt>
                <c:pt idx="25">
                  <c:v>0.99999999999977629</c:v>
                </c:pt>
                <c:pt idx="26">
                  <c:v>0.99999999999999889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97-4989-A8E4-37A9A9252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341551"/>
        <c:axId val="1"/>
      </c:lineChart>
      <c:catAx>
        <c:axId val="1123415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53193133410612292"/>
              <c:y val="0.894934901070114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112341551"/>
        <c:crosses val="autoZero"/>
        <c:crossBetween val="between"/>
      </c:valAx>
      <c:spPr>
        <a:solidFill>
          <a:srgbClr val="CDCDCD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DCDCD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DCDCD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7121193858993397"/>
          <c:y val="3.4483826535720651E-2"/>
          <c:w val="0.70624924668347766"/>
          <c:h val="0.81036992358943538"/>
        </c:manualLayout>
      </c:layout>
      <c:surface3DChart>
        <c:wireframe val="0"/>
        <c:ser>
          <c:idx val="0"/>
          <c:order val="0"/>
          <c:tx>
            <c:strRef>
              <c:f>'3.Bivariate'!$G$14</c:f>
              <c:strCache>
                <c:ptCount val="1"/>
                <c:pt idx="0">
                  <c:v>-3.00</c:v>
                </c:pt>
              </c:strCache>
            </c:strRef>
          </c:tx>
          <c:spPr>
            <a:solidFill>
              <a:srgbClr val="63AAF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'3.Bivariate'!$H$14:$AK$14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80-4314-8C70-2C43C556AD89}"/>
            </c:ext>
          </c:extLst>
        </c:ser>
        <c:ser>
          <c:idx val="1"/>
          <c:order val="1"/>
          <c:tx>
            <c:strRef>
              <c:f>'3.Bivariate'!$G$15</c:f>
              <c:strCache>
                <c:ptCount val="1"/>
                <c:pt idx="0">
                  <c:v>-2.79</c:v>
                </c:pt>
              </c:strCache>
            </c:strRef>
          </c:tx>
          <c:spPr>
            <a:solidFill>
              <a:srgbClr val="DD2D3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'3.Bivariate'!$H$15:$AK$15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80-4314-8C70-2C43C556AD89}"/>
            </c:ext>
          </c:extLst>
        </c:ser>
        <c:ser>
          <c:idx val="2"/>
          <c:order val="2"/>
          <c:tx>
            <c:strRef>
              <c:f>'3.Bivariate'!$G$16</c:f>
              <c:strCache>
                <c:ptCount val="1"/>
                <c:pt idx="0">
                  <c:v>-2.59</c:v>
                </c:pt>
              </c:strCache>
            </c:strRef>
          </c:tx>
          <c:spPr>
            <a:solidFill>
              <a:srgbClr val="FFF58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'3.Bivariate'!$H$16:$AK$16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80-4314-8C70-2C43C556AD89}"/>
            </c:ext>
          </c:extLst>
        </c:ser>
        <c:ser>
          <c:idx val="3"/>
          <c:order val="3"/>
          <c:tx>
            <c:strRef>
              <c:f>'3.Bivariate'!$G$17</c:f>
              <c:strCache>
                <c:ptCount val="1"/>
                <c:pt idx="0">
                  <c:v>-2.38</c:v>
                </c:pt>
              </c:strCache>
            </c:strRef>
          </c:tx>
          <c:spPr>
            <a:solidFill>
              <a:srgbClr val="4EE257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'3.Bivariate'!$H$17:$AK$17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80-4314-8C70-2C43C556AD89}"/>
            </c:ext>
          </c:extLst>
        </c:ser>
        <c:ser>
          <c:idx val="4"/>
          <c:order val="4"/>
          <c:tx>
            <c:strRef>
              <c:f>'3.Bivariate'!$G$18</c:f>
              <c:strCache>
                <c:ptCount val="1"/>
                <c:pt idx="0">
                  <c:v>-2.17</c:v>
                </c:pt>
              </c:strCache>
            </c:strRef>
          </c:tx>
          <c:spPr>
            <a:solidFill>
              <a:srgbClr val="6711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'3.Bivariate'!$H$18:$AK$18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80-4314-8C70-2C43C556AD89}"/>
            </c:ext>
          </c:extLst>
        </c:ser>
        <c:ser>
          <c:idx val="5"/>
          <c:order val="5"/>
          <c:tx>
            <c:strRef>
              <c:f>'3.Bivariate'!$G$19</c:f>
              <c:strCache>
                <c:ptCount val="1"/>
                <c:pt idx="0">
                  <c:v>-1.97</c:v>
                </c:pt>
              </c:strCache>
            </c:strRef>
          </c:tx>
          <c:spPr>
            <a:solidFill>
              <a:srgbClr val="FEA74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'3.Bivariate'!$H$19:$AK$19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80-4314-8C70-2C43C556AD89}"/>
            </c:ext>
          </c:extLst>
        </c:ser>
        <c:ser>
          <c:idx val="6"/>
          <c:order val="6"/>
          <c:tx>
            <c:strRef>
              <c:f>'3.Bivariate'!$G$20</c:f>
              <c:strCache>
                <c:ptCount val="1"/>
                <c:pt idx="0">
                  <c:v>-1.76</c:v>
                </c:pt>
              </c:strCache>
            </c:strRef>
          </c:tx>
          <c:spPr>
            <a:solidFill>
              <a:srgbClr val="865357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'3.Bivariate'!$H$20:$AK$20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80-4314-8C70-2C43C556AD89}"/>
            </c:ext>
          </c:extLst>
        </c:ser>
        <c:ser>
          <c:idx val="7"/>
          <c:order val="7"/>
          <c:tx>
            <c:strRef>
              <c:f>'3.Bivariate'!$G$21</c:f>
              <c:strCache>
                <c:ptCount val="1"/>
                <c:pt idx="0">
                  <c:v>-1.55</c:v>
                </c:pt>
              </c:strCache>
            </c:strRef>
          </c:tx>
          <c:spPr>
            <a:solidFill>
              <a:srgbClr val="A2BD9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'3.Bivariate'!$H$21:$AK$21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80-4314-8C70-2C43C556AD89}"/>
            </c:ext>
          </c:extLst>
        </c:ser>
        <c:ser>
          <c:idx val="8"/>
          <c:order val="8"/>
          <c:tx>
            <c:strRef>
              <c:f>'3.Bivariate'!$G$22</c:f>
              <c:strCache>
                <c:ptCount val="1"/>
                <c:pt idx="0">
                  <c:v>-1.34</c:v>
                </c:pt>
              </c:strCache>
            </c:strRef>
          </c:tx>
          <c:spPr>
            <a:solidFill>
              <a:srgbClr val="63AAF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'3.Bivariate'!$H$22:$AK$22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80-4314-8C70-2C43C556AD89}"/>
            </c:ext>
          </c:extLst>
        </c:ser>
        <c:ser>
          <c:idx val="9"/>
          <c:order val="9"/>
          <c:tx>
            <c:strRef>
              <c:f>'3.Bivariate'!$G$23</c:f>
              <c:strCache>
                <c:ptCount val="1"/>
                <c:pt idx="0">
                  <c:v>-1.14</c:v>
                </c:pt>
              </c:strCache>
            </c:strRef>
          </c:tx>
          <c:spPr>
            <a:solidFill>
              <a:srgbClr val="DD2D3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'3.Bivariate'!$H$23:$AK$23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80-4314-8C70-2C43C556AD89}"/>
            </c:ext>
          </c:extLst>
        </c:ser>
        <c:ser>
          <c:idx val="10"/>
          <c:order val="10"/>
          <c:tx>
            <c:strRef>
              <c:f>'3.Bivariate'!$G$24</c:f>
              <c:strCache>
                <c:ptCount val="1"/>
                <c:pt idx="0">
                  <c:v>-0.93</c:v>
                </c:pt>
              </c:strCache>
            </c:strRef>
          </c:tx>
          <c:spPr>
            <a:solidFill>
              <a:srgbClr val="FFF58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'3.Bivariate'!$H$24:$AK$24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80-4314-8C70-2C43C556AD89}"/>
            </c:ext>
          </c:extLst>
        </c:ser>
        <c:ser>
          <c:idx val="11"/>
          <c:order val="11"/>
          <c:tx>
            <c:strRef>
              <c:f>'3.Bivariate'!$G$25</c:f>
              <c:strCache>
                <c:ptCount val="1"/>
                <c:pt idx="0">
                  <c:v>-0.72</c:v>
                </c:pt>
              </c:strCache>
            </c:strRef>
          </c:tx>
          <c:spPr>
            <a:solidFill>
              <a:srgbClr val="4EE257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'3.Bivariate'!$H$25:$AK$25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B80-4314-8C70-2C43C556AD89}"/>
            </c:ext>
          </c:extLst>
        </c:ser>
        <c:ser>
          <c:idx val="12"/>
          <c:order val="12"/>
          <c:tx>
            <c:strRef>
              <c:f>'3.Bivariate'!$G$26</c:f>
              <c:strCache>
                <c:ptCount val="1"/>
                <c:pt idx="0">
                  <c:v>-0.52</c:v>
                </c:pt>
              </c:strCache>
            </c:strRef>
          </c:tx>
          <c:spPr>
            <a:solidFill>
              <a:srgbClr val="6711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'3.Bivariate'!$H$26:$AK$26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B80-4314-8C70-2C43C556AD89}"/>
            </c:ext>
          </c:extLst>
        </c:ser>
        <c:ser>
          <c:idx val="13"/>
          <c:order val="13"/>
          <c:tx>
            <c:strRef>
              <c:f>'3.Bivariate'!$G$27</c:f>
              <c:strCache>
                <c:ptCount val="1"/>
                <c:pt idx="0">
                  <c:v>-0.31</c:v>
                </c:pt>
              </c:strCache>
            </c:strRef>
          </c:tx>
          <c:spPr>
            <a:solidFill>
              <a:srgbClr val="FEA74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'3.Bivariate'!$H$27:$AK$27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80-4314-8C70-2C43C556AD89}"/>
            </c:ext>
          </c:extLst>
        </c:ser>
        <c:ser>
          <c:idx val="14"/>
          <c:order val="14"/>
          <c:tx>
            <c:strRef>
              <c:f>'3.Bivariate'!$G$28</c:f>
              <c:strCache>
                <c:ptCount val="1"/>
                <c:pt idx="0">
                  <c:v>-0.10</c:v>
                </c:pt>
              </c:strCache>
            </c:strRef>
          </c:tx>
          <c:spPr>
            <a:solidFill>
              <a:srgbClr val="865357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'3.Bivariate'!$H$28:$AK$28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B80-4314-8C70-2C43C556AD89}"/>
            </c:ext>
          </c:extLst>
        </c:ser>
        <c:ser>
          <c:idx val="15"/>
          <c:order val="15"/>
          <c:tx>
            <c:strRef>
              <c:f>'3.Bivariate'!$G$29</c:f>
              <c:strCache>
                <c:ptCount val="1"/>
                <c:pt idx="0">
                  <c:v>0.10</c:v>
                </c:pt>
              </c:strCache>
            </c:strRef>
          </c:tx>
          <c:spPr>
            <a:solidFill>
              <a:srgbClr val="A2BD9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'3.Bivariate'!$H$29:$AK$29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B80-4314-8C70-2C43C556AD89}"/>
            </c:ext>
          </c:extLst>
        </c:ser>
        <c:ser>
          <c:idx val="16"/>
          <c:order val="16"/>
          <c:tx>
            <c:strRef>
              <c:f>'3.Bivariate'!$G$30</c:f>
              <c:strCache>
                <c:ptCount val="1"/>
                <c:pt idx="0">
                  <c:v>0.31</c:v>
                </c:pt>
              </c:strCache>
            </c:strRef>
          </c:tx>
          <c:spPr>
            <a:solidFill>
              <a:srgbClr val="00CC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'3.Bivariate'!$H$30:$AK$30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80-4314-8C70-2C43C556AD89}"/>
            </c:ext>
          </c:extLst>
        </c:ser>
        <c:ser>
          <c:idx val="17"/>
          <c:order val="17"/>
          <c:tx>
            <c:strRef>
              <c:f>'3.Bivariate'!$G$31</c:f>
              <c:strCache>
                <c:ptCount val="1"/>
                <c:pt idx="0">
                  <c:v>0.52</c:v>
                </c:pt>
              </c:strCache>
            </c:strRef>
          </c:tx>
          <c:spPr>
            <a:solidFill>
              <a:srgbClr val="CCFF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'3.Bivariate'!$H$31:$AK$31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B80-4314-8C70-2C43C556AD89}"/>
            </c:ext>
          </c:extLst>
        </c:ser>
        <c:ser>
          <c:idx val="18"/>
          <c:order val="18"/>
          <c:tx>
            <c:strRef>
              <c:f>'3.Bivariate'!$G$32</c:f>
              <c:strCache>
                <c:ptCount val="1"/>
                <c:pt idx="0">
                  <c:v>0.72</c:v>
                </c:pt>
              </c:strCache>
            </c:strRef>
          </c:tx>
          <c:spPr>
            <a:solidFill>
              <a:srgbClr val="CCFF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'3.Bivariate'!$H$32:$AK$32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B80-4314-8C70-2C43C556AD89}"/>
            </c:ext>
          </c:extLst>
        </c:ser>
        <c:ser>
          <c:idx val="19"/>
          <c:order val="19"/>
          <c:tx>
            <c:strRef>
              <c:f>'3.Bivariate'!$G$33</c:f>
              <c:strCache>
                <c:ptCount val="1"/>
                <c:pt idx="0">
                  <c:v>0.93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'3.Bivariate'!$H$33:$AK$33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B80-4314-8C70-2C43C556AD89}"/>
            </c:ext>
          </c:extLst>
        </c:ser>
        <c:ser>
          <c:idx val="20"/>
          <c:order val="20"/>
          <c:tx>
            <c:strRef>
              <c:f>'3.Bivariate'!$G$34</c:f>
              <c:strCache>
                <c:ptCount val="1"/>
                <c:pt idx="0">
                  <c:v>1.14</c:v>
                </c:pt>
              </c:strCache>
            </c:strRef>
          </c:tx>
          <c:spPr>
            <a:solidFill>
              <a:srgbClr val="99CC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'3.Bivariate'!$H$34:$AK$34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B80-4314-8C70-2C43C556AD89}"/>
            </c:ext>
          </c:extLst>
        </c:ser>
        <c:ser>
          <c:idx val="21"/>
          <c:order val="21"/>
          <c:tx>
            <c:strRef>
              <c:f>'3.Bivariate'!$G$35</c:f>
              <c:strCache>
                <c:ptCount val="1"/>
                <c:pt idx="0">
                  <c:v>1.34</c:v>
                </c:pt>
              </c:strCache>
            </c:strRef>
          </c:tx>
          <c:spPr>
            <a:solidFill>
              <a:srgbClr val="FF99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'3.Bivariate'!$H$35:$AK$35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B80-4314-8C70-2C43C556AD89}"/>
            </c:ext>
          </c:extLst>
        </c:ser>
        <c:ser>
          <c:idx val="22"/>
          <c:order val="22"/>
          <c:tx>
            <c:strRef>
              <c:f>'3.Bivariate'!$G$36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CC9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'3.Bivariate'!$H$36:$AK$36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B80-4314-8C70-2C43C556AD89}"/>
            </c:ext>
          </c:extLst>
        </c:ser>
        <c:ser>
          <c:idx val="23"/>
          <c:order val="23"/>
          <c:tx>
            <c:strRef>
              <c:f>'3.Bivariate'!$G$37</c:f>
              <c:strCache>
                <c:ptCount val="1"/>
                <c:pt idx="0">
                  <c:v>1.76</c:v>
                </c:pt>
              </c:strCache>
            </c:strRef>
          </c:tx>
          <c:spPr>
            <a:solidFill>
              <a:srgbClr val="FFCC99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'3.Bivariate'!$H$37:$AK$37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B80-4314-8C70-2C43C556AD89}"/>
            </c:ext>
          </c:extLst>
        </c:ser>
        <c:ser>
          <c:idx val="24"/>
          <c:order val="24"/>
          <c:tx>
            <c:strRef>
              <c:f>'3.Bivariate'!$G$38</c:f>
              <c:strCache>
                <c:ptCount val="1"/>
                <c:pt idx="0">
                  <c:v>1.97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'3.Bivariate'!$H$38:$AK$38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B80-4314-8C70-2C43C556AD89}"/>
            </c:ext>
          </c:extLst>
        </c:ser>
        <c:ser>
          <c:idx val="25"/>
          <c:order val="25"/>
          <c:tx>
            <c:strRef>
              <c:f>'3.Bivariate'!$G$39</c:f>
              <c:strCache>
                <c:ptCount val="1"/>
                <c:pt idx="0">
                  <c:v>2.17</c:v>
                </c:pt>
              </c:strCache>
            </c:strRef>
          </c:tx>
          <c:spPr>
            <a:solidFill>
              <a:srgbClr val="33CC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'3.Bivariate'!$H$39:$AK$39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B80-4314-8C70-2C43C556AD89}"/>
            </c:ext>
          </c:extLst>
        </c:ser>
        <c:ser>
          <c:idx val="26"/>
          <c:order val="26"/>
          <c:tx>
            <c:strRef>
              <c:f>'3.Bivariate'!$G$40</c:f>
              <c:strCache>
                <c:ptCount val="1"/>
                <c:pt idx="0">
                  <c:v>2.38</c:v>
                </c:pt>
              </c:strCache>
            </c:strRef>
          </c:tx>
          <c:spPr>
            <a:solidFill>
              <a:srgbClr val="99CC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'3.Bivariate'!$H$40:$AK$40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B80-4314-8C70-2C43C556AD89}"/>
            </c:ext>
          </c:extLst>
        </c:ser>
        <c:ser>
          <c:idx val="27"/>
          <c:order val="27"/>
          <c:tx>
            <c:strRef>
              <c:f>'3.Bivariate'!$G$41</c:f>
              <c:strCache>
                <c:ptCount val="1"/>
                <c:pt idx="0">
                  <c:v>2.59</c:v>
                </c:pt>
              </c:strCache>
            </c:strRef>
          </c:tx>
          <c:spPr>
            <a:solidFill>
              <a:srgbClr val="FFCC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'3.Bivariate'!$H$41:$AK$41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B80-4314-8C70-2C43C556AD89}"/>
            </c:ext>
          </c:extLst>
        </c:ser>
        <c:ser>
          <c:idx val="28"/>
          <c:order val="28"/>
          <c:tx>
            <c:strRef>
              <c:f>'3.Bivariate'!$G$42</c:f>
              <c:strCache>
                <c:ptCount val="1"/>
                <c:pt idx="0">
                  <c:v>2.79</c:v>
                </c:pt>
              </c:strCache>
            </c:strRef>
          </c:tx>
          <c:spPr>
            <a:solidFill>
              <a:srgbClr val="FF99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'3.Bivariate'!$H$42:$AK$42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B80-4314-8C70-2C43C556AD89}"/>
            </c:ext>
          </c:extLst>
        </c:ser>
        <c:ser>
          <c:idx val="29"/>
          <c:order val="29"/>
          <c:tx>
            <c:strRef>
              <c:f>'3.Bivariate'!$G$43</c:f>
              <c:strCache>
                <c:ptCount val="1"/>
                <c:pt idx="0">
                  <c:v>3.00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'3.Bivariate'!$H$13:$AK$13</c:f>
              <c:numCache>
                <c:formatCode>0.0</c:formatCode>
                <c:ptCount val="30"/>
                <c:pt idx="0">
                  <c:v>-3</c:v>
                </c:pt>
                <c:pt idx="1">
                  <c:v>-2.7931034482758621</c:v>
                </c:pt>
                <c:pt idx="2">
                  <c:v>-2.5862068965517242</c:v>
                </c:pt>
                <c:pt idx="3">
                  <c:v>-2.3793103448275863</c:v>
                </c:pt>
                <c:pt idx="4">
                  <c:v>-2.1724137931034484</c:v>
                </c:pt>
                <c:pt idx="5">
                  <c:v>-1.9655172413793105</c:v>
                </c:pt>
                <c:pt idx="6">
                  <c:v>-1.7586206896551726</c:v>
                </c:pt>
                <c:pt idx="7">
                  <c:v>-1.5517241379310347</c:v>
                </c:pt>
                <c:pt idx="8">
                  <c:v>-1.3448275862068968</c:v>
                </c:pt>
                <c:pt idx="9">
                  <c:v>-1.1379310344827589</c:v>
                </c:pt>
                <c:pt idx="10">
                  <c:v>-0.931034482758621</c:v>
                </c:pt>
                <c:pt idx="11">
                  <c:v>-0.7241379310344831</c:v>
                </c:pt>
                <c:pt idx="12">
                  <c:v>-0.5172413793103452</c:v>
                </c:pt>
                <c:pt idx="13">
                  <c:v>-0.31034482758620729</c:v>
                </c:pt>
                <c:pt idx="14">
                  <c:v>-0.10344827586206937</c:v>
                </c:pt>
                <c:pt idx="15">
                  <c:v>0.10344827586206856</c:v>
                </c:pt>
                <c:pt idx="16">
                  <c:v>0.31034482758620652</c:v>
                </c:pt>
                <c:pt idx="17">
                  <c:v>0.51724137931034442</c:v>
                </c:pt>
                <c:pt idx="18">
                  <c:v>0.72413793103448232</c:v>
                </c:pt>
                <c:pt idx="19">
                  <c:v>0.93103448275862022</c:v>
                </c:pt>
                <c:pt idx="20">
                  <c:v>1.1379310344827582</c:v>
                </c:pt>
                <c:pt idx="21">
                  <c:v>1.3448275862068961</c:v>
                </c:pt>
                <c:pt idx="22">
                  <c:v>1.551724137931034</c:v>
                </c:pt>
                <c:pt idx="23">
                  <c:v>1.7586206896551719</c:v>
                </c:pt>
                <c:pt idx="24">
                  <c:v>1.9655172413793098</c:v>
                </c:pt>
                <c:pt idx="25">
                  <c:v>2.172413793103448</c:v>
                </c:pt>
                <c:pt idx="26">
                  <c:v>2.3793103448275859</c:v>
                </c:pt>
                <c:pt idx="27">
                  <c:v>2.5862068965517238</c:v>
                </c:pt>
                <c:pt idx="28">
                  <c:v>2.7931034482758617</c:v>
                </c:pt>
                <c:pt idx="29">
                  <c:v>2.9999999999999996</c:v>
                </c:pt>
              </c:numCache>
            </c:numRef>
          </c:cat>
          <c:val>
            <c:numRef>
              <c:f>'3.Bivariate'!$H$43:$AK$43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B80-4314-8C70-2C43C556AD89}"/>
            </c:ext>
          </c:extLst>
        </c:ser>
        <c:bandFmts>
          <c:bandFmt>
            <c:idx val="0"/>
            <c:spPr>
              <a:solidFill>
                <a:srgbClr val="63AAFE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1"/>
            <c:spPr>
              <a:solidFill>
                <a:srgbClr val="DD2D32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2"/>
            <c:spPr>
              <a:solidFill>
                <a:srgbClr val="FFF58C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3"/>
            <c:spPr>
              <a:solidFill>
                <a:srgbClr val="4EE257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4"/>
            <c:spPr>
              <a:solidFill>
                <a:srgbClr val="6711FF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5"/>
            <c:spPr>
              <a:solidFill>
                <a:srgbClr val="FEA746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6"/>
            <c:spPr>
              <a:solidFill>
                <a:srgbClr val="865357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7"/>
            <c:spPr>
              <a:solidFill>
                <a:srgbClr val="A2BD90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8"/>
            <c:spPr>
              <a:solidFill>
                <a:srgbClr val="63AAFE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9"/>
            <c:spPr>
              <a:solidFill>
                <a:srgbClr val="DD2D32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</c:bandFmts>
        <c:axId val="245638911"/>
        <c:axId val="1"/>
        <c:axId val="2"/>
      </c:surface3DChart>
      <c:catAx>
        <c:axId val="245638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2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33658710654612017"/>
              <c:y val="0.8916532289950626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algn="ctr" rtl="0">
                  <a:defRPr sz="112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US"/>
                  <a:t>Probability</a:t>
                </a:r>
              </a:p>
            </c:rich>
          </c:tx>
          <c:layout>
            <c:manualLayout>
              <c:xMode val="edge"/>
              <c:yMode val="edge"/>
              <c:x val="6.8095657393723738E-2"/>
              <c:y val="0.3300594825561833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245638911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2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0.91831857970964581"/>
              <c:y val="0.7216972267832965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1"/>
        <c:crosses val="autoZero"/>
        <c:tickLblSkip val="9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DCDCD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DCDCD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7121193858993397"/>
          <c:y val="3.4483826535720651E-2"/>
          <c:w val="0.70624924668347766"/>
          <c:h val="0.81036992358943538"/>
        </c:manualLayout>
      </c:layout>
      <c:surface3DChart>
        <c:wireframe val="0"/>
        <c:ser>
          <c:idx val="0"/>
          <c:order val="0"/>
          <c:tx>
            <c:strRef>
              <c:f>'4.BivariateC'!$G$20</c:f>
              <c:strCache>
                <c:ptCount val="1"/>
                <c:pt idx="0">
                  <c:v>-1.00</c:v>
                </c:pt>
              </c:strCache>
            </c:strRef>
          </c:tx>
          <c:spPr>
            <a:solidFill>
              <a:srgbClr val="63AAF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'4.BivariateC'!$H$20:$AK$20</c:f>
              <c:numCache>
                <c:formatCode>0.00</c:formatCode>
                <c:ptCount val="30"/>
                <c:pt idx="0">
                  <c:v>9.763651908155789E-2</c:v>
                </c:pt>
                <c:pt idx="1">
                  <c:v>9.1404962812945287E-2</c:v>
                </c:pt>
                <c:pt idx="2">
                  <c:v>8.5083425972770799E-2</c:v>
                </c:pt>
                <c:pt idx="3">
                  <c:v>7.8737405294107665E-2</c:v>
                </c:pt>
                <c:pt idx="4">
                  <c:v>7.2432179861804807E-2</c:v>
                </c:pt>
                <c:pt idx="5">
                  <c:v>6.6230757846396121E-2</c:v>
                </c:pt>
                <c:pt idx="6">
                  <c:v>6.0191991288600248E-2</c:v>
                </c:pt>
                <c:pt idx="7">
                  <c:v>5.4368951530930763E-2</c:v>
                </c:pt>
                <c:pt idx="8">
                  <c:v>4.8807635874588133E-2</c:v>
                </c:pt>
                <c:pt idx="9">
                  <c:v>4.354605016985539E-2</c:v>
                </c:pt>
                <c:pt idx="10">
                  <c:v>3.8613684862606905E-2</c:v>
                </c:pt>
                <c:pt idx="11">
                  <c:v>3.4031375966911866E-2</c:v>
                </c:pt>
                <c:pt idx="12">
                  <c:v>2.9811519616103122E-2</c:v>
                </c:pt>
                <c:pt idx="13">
                  <c:v>2.5958590826297676E-2</c:v>
                </c:pt>
                <c:pt idx="14">
                  <c:v>2.2469904808259816E-2</c:v>
                </c:pt>
                <c:pt idx="15">
                  <c:v>1.9336552847608598E-2</c:v>
                </c:pt>
                <c:pt idx="16">
                  <c:v>1.6544444106063906E-2</c:v>
                </c:pt>
                <c:pt idx="17">
                  <c:v>1.4075388872236401E-2</c:v>
                </c:pt>
                <c:pt idx="18">
                  <c:v>1.190816669082286E-2</c:v>
                </c:pt>
                <c:pt idx="19">
                  <c:v>1.001953316024152E-2</c:v>
                </c:pt>
                <c:pt idx="20">
                  <c:v>8.3851307562953347E-3</c:v>
                </c:pt>
                <c:pt idx="21">
                  <c:v>6.9802806925102186E-3</c:v>
                </c:pt>
                <c:pt idx="22">
                  <c:v>5.7806436637001619E-3</c:v>
                </c:pt>
                <c:pt idx="23">
                  <c:v>4.7627466965036794E-3</c:v>
                </c:pt>
                <c:pt idx="24">
                  <c:v>3.9043808736091536E-3</c:v>
                </c:pt>
                <c:pt idx="25">
                  <c:v>3.1848802727128022E-3</c:v>
                </c:pt>
                <c:pt idx="26">
                  <c:v>2.585296128731636E-3</c:v>
                </c:pt>
                <c:pt idx="27">
                  <c:v>2.0884821919135719E-3</c:v>
                </c:pt>
                <c:pt idx="28">
                  <c:v>1.6791078050515404E-3</c:v>
                </c:pt>
                <c:pt idx="29">
                  <c:v>1.3436146865677871E-3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48-4DCE-8118-64FE180A5AD6}"/>
            </c:ext>
          </c:extLst>
        </c:ser>
        <c:ser>
          <c:idx val="1"/>
          <c:order val="1"/>
          <c:tx>
            <c:strRef>
              <c:f>'4.BivariateC'!$G$21</c:f>
              <c:strCache>
                <c:ptCount val="1"/>
                <c:pt idx="0">
                  <c:v>-0.93</c:v>
                </c:pt>
              </c:strCache>
            </c:strRef>
          </c:tx>
          <c:spPr>
            <a:solidFill>
              <a:srgbClr val="DD2D3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'4.BivariateC'!$H$21:$AK$21</c:f>
              <c:numCache>
                <c:formatCode>0.00</c:formatCode>
                <c:ptCount val="30"/>
                <c:pt idx="0">
                  <c:v>0.10371449327733835</c:v>
                </c:pt>
                <c:pt idx="1">
                  <c:v>9.6764056786082742E-2</c:v>
                </c:pt>
                <c:pt idx="2">
                  <c:v>8.9763311573015897E-2</c:v>
                </c:pt>
                <c:pt idx="3">
                  <c:v>8.2783972551924365E-2</c:v>
                </c:pt>
                <c:pt idx="4">
                  <c:v>7.589595503921473E-2</c:v>
                </c:pt>
                <c:pt idx="5">
                  <c:v>6.9165262441983802E-2</c:v>
                </c:pt>
                <c:pt idx="6">
                  <c:v>6.2652128951373245E-2</c:v>
                </c:pt>
                <c:pt idx="7">
                  <c:v>5.6409500674211556E-2</c:v>
                </c:pt>
                <c:pt idx="8">
                  <c:v>5.0481911666736289E-2</c:v>
                </c:pt>
                <c:pt idx="9">
                  <c:v>4.4904782212556213E-2</c:v>
                </c:pt>
                <c:pt idx="10">
                  <c:v>3.9704138093205679E-2</c:v>
                </c:pt>
                <c:pt idx="11">
                  <c:v>3.4896723908496338E-2</c:v>
                </c:pt>
                <c:pt idx="12">
                  <c:v>3.0490462559368079E-2</c:v>
                </c:pt>
                <c:pt idx="13">
                  <c:v>2.6485197984298849E-2</c:v>
                </c:pt>
                <c:pt idx="14">
                  <c:v>2.2873649608993695E-2</c:v>
                </c:pt>
                <c:pt idx="15">
                  <c:v>1.9642504534446017E-2</c:v>
                </c:pt>
                <c:pt idx="16">
                  <c:v>1.6773576513736104E-2</c:v>
                </c:pt>
                <c:pt idx="17">
                  <c:v>1.4244968135267251E-2</c:v>
                </c:pt>
                <c:pt idx="18">
                  <c:v>1.2032183019475375E-2</c:v>
                </c:pt>
                <c:pt idx="19">
                  <c:v>1.0109146895198245E-2</c:v>
                </c:pt>
                <c:pt idx="20">
                  <c:v>8.449108908361716E-3</c:v>
                </c:pt>
                <c:pt idx="21">
                  <c:v>7.0254063982084962E-3</c:v>
                </c:pt>
                <c:pt idx="22">
                  <c:v>5.8120868921425223E-3</c:v>
                </c:pt>
                <c:pt idx="23">
                  <c:v>4.7843897403527669E-3</c:v>
                </c:pt>
                <c:pt idx="24">
                  <c:v>3.9190964216176283E-3</c:v>
                </c:pt>
                <c:pt idx="25">
                  <c:v>3.1947631101724725E-3</c:v>
                </c:pt>
                <c:pt idx="26">
                  <c:v>2.5918517748002899E-3</c:v>
                </c:pt>
                <c:pt idx="27">
                  <c:v>2.0927771674781374E-3</c:v>
                </c:pt>
                <c:pt idx="28">
                  <c:v>1.6818868852238754E-3</c:v>
                </c:pt>
                <c:pt idx="29">
                  <c:v>1.3453905987310672E-3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48-4DCE-8118-64FE180A5AD6}"/>
            </c:ext>
          </c:extLst>
        </c:ser>
        <c:ser>
          <c:idx val="2"/>
          <c:order val="2"/>
          <c:tx>
            <c:strRef>
              <c:f>'4.BivariateC'!$G$22</c:f>
              <c:strCache>
                <c:ptCount val="1"/>
                <c:pt idx="0">
                  <c:v>-0.86</c:v>
                </c:pt>
              </c:strCache>
            </c:strRef>
          </c:tx>
          <c:spPr>
            <a:solidFill>
              <a:srgbClr val="FFF58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'4.BivariateC'!$H$22:$AK$22</c:f>
              <c:numCache>
                <c:formatCode>0.00</c:formatCode>
                <c:ptCount val="30"/>
                <c:pt idx="0">
                  <c:v>0.10957923534951433</c:v>
                </c:pt>
                <c:pt idx="1">
                  <c:v>0.10189551019493791</c:v>
                </c:pt>
                <c:pt idx="2">
                  <c:v>9.4209211541232449E-2</c:v>
                </c:pt>
                <c:pt idx="3">
                  <c:v>8.6597343874290827E-2</c:v>
                </c:pt>
                <c:pt idx="4">
                  <c:v>7.9133367292122697E-2</c:v>
                </c:pt>
                <c:pt idx="5">
                  <c:v>7.1885096963781925E-2</c:v>
                </c:pt>
                <c:pt idx="6">
                  <c:v>6.491294297413272E-2</c:v>
                </c:pt>
                <c:pt idx="7">
                  <c:v>5.8268559859037845E-2</c:v>
                </c:pt>
                <c:pt idx="8">
                  <c:v>5.1993944316078303E-2</c:v>
                </c:pt>
                <c:pt idx="9">
                  <c:v>4.6120988558177069E-2</c:v>
                </c:pt>
                <c:pt idx="10">
                  <c:v>4.0671468207608738E-2</c:v>
                </c:pt>
                <c:pt idx="11">
                  <c:v>3.5657419640776941E-2</c:v>
                </c:pt>
                <c:pt idx="12">
                  <c:v>3.1081843742539465E-2</c:v>
                </c:pt>
                <c:pt idx="13">
                  <c:v>2.6939661813685824E-2</c:v>
                </c:pt>
                <c:pt idx="14">
                  <c:v>2.321884487349329E-2</c:v>
                </c:pt>
                <c:pt idx="15">
                  <c:v>1.9901639172533767E-2</c:v>
                </c:pt>
                <c:pt idx="16">
                  <c:v>1.6965817287429272E-2</c:v>
                </c:pt>
                <c:pt idx="17">
                  <c:v>1.4385894351928935E-2</c:v>
                </c:pt>
                <c:pt idx="18">
                  <c:v>1.2134261349618342E-2</c:v>
                </c:pt>
                <c:pt idx="19">
                  <c:v>1.0182200593549027E-2</c:v>
                </c:pt>
                <c:pt idx="20">
                  <c:v>8.5007613858610262E-3</c:v>
                </c:pt>
                <c:pt idx="21">
                  <c:v>7.0614854956452203E-3</c:v>
                </c:pt>
                <c:pt idx="22">
                  <c:v>5.836981923694997E-3</c:v>
                </c:pt>
                <c:pt idx="23">
                  <c:v>4.8013581334846135E-3</c:v>
                </c:pt>
                <c:pt idx="24">
                  <c:v>3.9305204617617372E-3</c:v>
                </c:pt>
                <c:pt idx="25">
                  <c:v>3.2023599148196676E-3</c:v>
                </c:pt>
                <c:pt idx="26">
                  <c:v>2.5968412735626889E-3</c:v>
                </c:pt>
                <c:pt idx="27">
                  <c:v>2.0960137092333594E-3</c:v>
                </c:pt>
                <c:pt idx="28">
                  <c:v>1.6839603110022237E-3</c:v>
                </c:pt>
                <c:pt idx="29">
                  <c:v>1.3467023888836477E-3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48-4DCE-8118-64FE180A5AD6}"/>
            </c:ext>
          </c:extLst>
        </c:ser>
        <c:ser>
          <c:idx val="3"/>
          <c:order val="3"/>
          <c:tx>
            <c:strRef>
              <c:f>'4.BivariateC'!$G$23</c:f>
              <c:strCache>
                <c:ptCount val="1"/>
                <c:pt idx="0">
                  <c:v>-0.79</c:v>
                </c:pt>
              </c:strCache>
            </c:strRef>
          </c:tx>
          <c:spPr>
            <a:solidFill>
              <a:srgbClr val="4EE257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'4.BivariateC'!$H$23:$AK$23</c:f>
              <c:numCache>
                <c:formatCode>0.00</c:formatCode>
                <c:ptCount val="30"/>
                <c:pt idx="0">
                  <c:v>0.1151769312145622</c:v>
                </c:pt>
                <c:pt idx="1">
                  <c:v>0.10675501981821406</c:v>
                </c:pt>
                <c:pt idx="2">
                  <c:v>9.8385828985315782E-2</c:v>
                </c:pt>
                <c:pt idx="3">
                  <c:v>9.0150498051861747E-2</c:v>
                </c:pt>
                <c:pt idx="4">
                  <c:v>8.2124772686172035E-2</c:v>
                </c:pt>
                <c:pt idx="5">
                  <c:v>7.4376990332409229E-2</c:v>
                </c:pt>
                <c:pt idx="6">
                  <c:v>6.696648504994375E-2</c:v>
                </c:pt>
                <c:pt idx="7">
                  <c:v>5.9942462629174485E-2</c:v>
                </c:pt>
                <c:pt idx="8">
                  <c:v>5.334336361245183E-2</c:v>
                </c:pt>
                <c:pt idx="9">
                  <c:v>4.7196700462325575E-2</c:v>
                </c:pt>
                <c:pt idx="10">
                  <c:v>4.1519328029760105E-2</c:v>
                </c:pt>
                <c:pt idx="11">
                  <c:v>3.6318085428650719E-2</c:v>
                </c:pt>
                <c:pt idx="12">
                  <c:v>3.1590733380141831E-2</c:v>
                </c:pt>
                <c:pt idx="13">
                  <c:v>2.7327104229064498E-2</c:v>
                </c:pt>
                <c:pt idx="14">
                  <c:v>2.3510381646052066E-2</c:v>
                </c:pt>
                <c:pt idx="15">
                  <c:v>2.011843247542076E-2</c:v>
                </c:pt>
                <c:pt idx="16">
                  <c:v>1.7125122899426363E-2</c:v>
                </c:pt>
                <c:pt idx="17">
                  <c:v>1.4501563556442634E-2</c:v>
                </c:pt>
                <c:pt idx="18">
                  <c:v>1.2217242006641099E-2</c:v>
                </c:pt>
                <c:pt idx="19">
                  <c:v>1.0241014694443468E-2</c:v>
                </c:pt>
                <c:pt idx="20">
                  <c:v>8.5419432904717957E-3</c:v>
                </c:pt>
                <c:pt idx="21">
                  <c:v>7.0899712936891178E-3</c:v>
                </c:pt>
                <c:pt idx="22">
                  <c:v>5.8564456307311054E-3</c:v>
                </c:pt>
                <c:pt idx="23">
                  <c:v>4.8144945708938442E-3</c:v>
                </c:pt>
                <c:pt idx="24">
                  <c:v>3.9392776670121093E-3</c:v>
                </c:pt>
                <c:pt idx="25">
                  <c:v>3.2081258744026341E-3</c:v>
                </c:pt>
                <c:pt idx="26">
                  <c:v>2.6005908239132426E-3</c:v>
                </c:pt>
                <c:pt idx="27">
                  <c:v>2.0984217995169206E-3</c:v>
                </c:pt>
                <c:pt idx="28">
                  <c:v>1.6854876580969106E-3</c:v>
                </c:pt>
                <c:pt idx="29">
                  <c:v>1.3476590551202805E-3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48-4DCE-8118-64FE180A5AD6}"/>
            </c:ext>
          </c:extLst>
        </c:ser>
        <c:ser>
          <c:idx val="4"/>
          <c:order val="4"/>
          <c:tx>
            <c:strRef>
              <c:f>'4.BivariateC'!$G$24</c:f>
              <c:strCache>
                <c:ptCount val="1"/>
                <c:pt idx="0">
                  <c:v>-0.72</c:v>
                </c:pt>
              </c:strCache>
            </c:strRef>
          </c:tx>
          <c:spPr>
            <a:solidFill>
              <a:srgbClr val="6711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'4.BivariateC'!$H$24:$AK$24</c:f>
              <c:numCache>
                <c:formatCode>0.00</c:formatCode>
                <c:ptCount val="30"/>
                <c:pt idx="0">
                  <c:v>0.12046121099502011</c:v>
                </c:pt>
                <c:pt idx="1">
                  <c:v>0.11130591892202099</c:v>
                </c:pt>
                <c:pt idx="2">
                  <c:v>0.10226539894225486</c:v>
                </c:pt>
                <c:pt idx="3">
                  <c:v>9.342359136245687E-2</c:v>
                </c:pt>
                <c:pt idx="4">
                  <c:v>8.4857155004499446E-2</c:v>
                </c:pt>
                <c:pt idx="5">
                  <c:v>7.6633611636358998E-2</c:v>
                </c:pt>
                <c:pt idx="6">
                  <c:v>6.8809977964853358E-2</c:v>
                </c:pt>
                <c:pt idx="7">
                  <c:v>6.1431914378962726E-2</c:v>
                </c:pt>
                <c:pt idx="8">
                  <c:v>5.4533385565676988E-2</c:v>
                </c:pt>
                <c:pt idx="9">
                  <c:v>4.8136797934165566E-2</c:v>
                </c:pt>
                <c:pt idx="10">
                  <c:v>4.2253554530818575E-2</c:v>
                </c:pt>
                <c:pt idx="11">
                  <c:v>3.6884951049325189E-2</c:v>
                </c:pt>
                <c:pt idx="12">
                  <c:v>3.2023327044875545E-2</c:v>
                </c:pt>
                <c:pt idx="13">
                  <c:v>2.7653384201678725E-2</c:v>
                </c:pt>
                <c:pt idx="14">
                  <c:v>2.3753587526172064E-2</c:v>
                </c:pt>
                <c:pt idx="15">
                  <c:v>2.0297574285340174E-2</c:v>
                </c:pt>
                <c:pt idx="16">
                  <c:v>1.7255507823057341E-2</c:v>
                </c:pt>
                <c:pt idx="17">
                  <c:v>1.4595327504513667E-2</c:v>
                </c:pt>
                <c:pt idx="18">
                  <c:v>1.2283860547320309E-2</c:v>
                </c:pt>
                <c:pt idx="19">
                  <c:v>1.0287775243516843E-2</c:v>
                </c:pt>
                <c:pt idx="20">
                  <c:v>8.5743672192578543E-3</c:v>
                </c:pt>
                <c:pt idx="21">
                  <c:v>7.112180401947622E-3</c:v>
                </c:pt>
                <c:pt idx="22">
                  <c:v>5.8714720478465123E-3</c:v>
                </c:pt>
                <c:pt idx="23">
                  <c:v>4.8245365507516942E-3</c:v>
                </c:pt>
                <c:pt idx="24">
                  <c:v>3.9459060081097853E-3</c:v>
                </c:pt>
                <c:pt idx="25">
                  <c:v>3.2124469824175231E-3</c:v>
                </c:pt>
                <c:pt idx="26">
                  <c:v>2.6033729346313758E-3</c:v>
                </c:pt>
                <c:pt idx="27">
                  <c:v>2.1001907999679023E-3</c:v>
                </c:pt>
                <c:pt idx="28">
                  <c:v>1.6865984734507353E-3</c:v>
                </c:pt>
                <c:pt idx="29">
                  <c:v>1.3483478710714797E-3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48-4DCE-8118-64FE180A5AD6}"/>
            </c:ext>
          </c:extLst>
        </c:ser>
        <c:ser>
          <c:idx val="5"/>
          <c:order val="5"/>
          <c:tx>
            <c:strRef>
              <c:f>'4.BivariateC'!$G$25</c:f>
              <c:strCache>
                <c:ptCount val="1"/>
                <c:pt idx="0">
                  <c:v>-0.66</c:v>
                </c:pt>
              </c:strCache>
            </c:strRef>
          </c:tx>
          <c:spPr>
            <a:solidFill>
              <a:srgbClr val="FEA74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'4.BivariateC'!$H$25:$AK$25</c:f>
              <c:numCache>
                <c:formatCode>0.00</c:formatCode>
                <c:ptCount val="30"/>
                <c:pt idx="0">
                  <c:v>0.12539439528983445</c:v>
                </c:pt>
                <c:pt idx="1">
                  <c:v>0.1155200425731686</c:v>
                </c:pt>
                <c:pt idx="2">
                  <c:v>0.1058282071034802</c:v>
                </c:pt>
                <c:pt idx="3">
                  <c:v>9.6404175887359195E-2</c:v>
                </c:pt>
                <c:pt idx="4">
                  <c:v>8.7324097214746543E-2</c:v>
                </c:pt>
                <c:pt idx="5">
                  <c:v>7.8653351275530178E-2</c:v>
                </c:pt>
                <c:pt idx="6">
                  <c:v>7.0445461900023251E-2</c:v>
                </c:pt>
                <c:pt idx="7">
                  <c:v>6.274155494574217E-2</c:v>
                </c:pt>
                <c:pt idx="8">
                  <c:v>5.5570335649693839E-2</c:v>
                </c:pt>
                <c:pt idx="9">
                  <c:v>4.8948529755676651E-2</c:v>
                </c:pt>
                <c:pt idx="10">
                  <c:v>4.2881712951640949E-2</c:v>
                </c:pt>
                <c:pt idx="11">
                  <c:v>3.7365440778389734E-2</c:v>
                </c:pt>
                <c:pt idx="12">
                  <c:v>3.2386586542181024E-2</c:v>
                </c:pt>
                <c:pt idx="13">
                  <c:v>2.7924797044988622E-2</c:v>
                </c:pt>
                <c:pt idx="14">
                  <c:v>2.3953983819163215E-2</c:v>
                </c:pt>
                <c:pt idx="15">
                  <c:v>2.0443779434318618E-2</c:v>
                </c:pt>
                <c:pt idx="16">
                  <c:v>1.7360902691736263E-2</c:v>
                </c:pt>
                <c:pt idx="17">
                  <c:v>1.4670391609594729E-2</c:v>
                </c:pt>
                <c:pt idx="18">
                  <c:v>1.2336677746624874E-2</c:v>
                </c:pt>
                <c:pt idx="19">
                  <c:v>1.0324488642080841E-2</c:v>
                </c:pt>
                <c:pt idx="20">
                  <c:v>8.5995763321131194E-3</c:v>
                </c:pt>
                <c:pt idx="21">
                  <c:v>7.129278719822333E-3</c:v>
                </c:pt>
                <c:pt idx="22">
                  <c:v>5.8829269807289036E-3</c:v>
                </c:pt>
                <c:pt idx="23">
                  <c:v>4.8321163345044918E-3</c:v>
                </c:pt>
                <c:pt idx="24">
                  <c:v>3.9508597016325083E-3</c:v>
                </c:pt>
                <c:pt idx="25">
                  <c:v>3.2156443571594072E-3</c:v>
                </c:pt>
                <c:pt idx="26">
                  <c:v>2.6054110796179283E-3</c:v>
                </c:pt>
                <c:pt idx="27">
                  <c:v>2.101473838532794E-3</c:v>
                </c:pt>
                <c:pt idx="28">
                  <c:v>1.687396090221456E-3</c:v>
                </c:pt>
                <c:pt idx="29">
                  <c:v>1.3488375217958425E-3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48-4DCE-8118-64FE180A5AD6}"/>
            </c:ext>
          </c:extLst>
        </c:ser>
        <c:ser>
          <c:idx val="6"/>
          <c:order val="6"/>
          <c:tx>
            <c:strRef>
              <c:f>'4.BivariateC'!$G$26</c:f>
              <c:strCache>
                <c:ptCount val="1"/>
                <c:pt idx="0">
                  <c:v>-0.59</c:v>
                </c:pt>
              </c:strCache>
            </c:strRef>
          </c:tx>
          <c:spPr>
            <a:solidFill>
              <a:srgbClr val="865357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'4.BivariateC'!$H$26:$AK$26</c:f>
              <c:numCache>
                <c:formatCode>0.00</c:formatCode>
                <c:ptCount val="30"/>
                <c:pt idx="0">
                  <c:v>0.12994831939085885</c:v>
                </c:pt>
                <c:pt idx="1">
                  <c:v>0.11937818319102332</c:v>
                </c:pt>
                <c:pt idx="2">
                  <c:v>0.10906272798767919</c:v>
                </c:pt>
                <c:pt idx="3">
                  <c:v>9.9087079163741806E-2</c:v>
                </c:pt>
                <c:pt idx="4">
                  <c:v>8.9525464306761199E-2</c:v>
                </c:pt>
                <c:pt idx="5">
                  <c:v>8.0439867246701172E-2</c:v>
                </c:pt>
                <c:pt idx="6">
                  <c:v>7.1879259450733618E-2</c:v>
                </c:pt>
                <c:pt idx="7">
                  <c:v>6.3879390093383559E-2</c:v>
                </c:pt>
                <c:pt idx="8">
                  <c:v>5.6463085376370105E-2</c:v>
                </c:pt>
                <c:pt idx="9">
                  <c:v>4.9640984099800195E-2</c:v>
                </c:pt>
                <c:pt idx="10">
                  <c:v>4.341262103056031E-2</c:v>
                </c:pt>
                <c:pt idx="11">
                  <c:v>3.7767762341491817E-2</c:v>
                </c:pt>
                <c:pt idx="12">
                  <c:v>3.2687897620474027E-2</c:v>
                </c:pt>
                <c:pt idx="13">
                  <c:v>2.8147799425950401E-2</c:v>
                </c:pt>
                <c:pt idx="14">
                  <c:v>2.4117072511512218E-2</c:v>
                </c:pt>
                <c:pt idx="15">
                  <c:v>2.0561628956716704E-2</c:v>
                </c:pt>
                <c:pt idx="16">
                  <c:v>1.744504089815882E-2</c:v>
                </c:pt>
                <c:pt idx="17">
                  <c:v>1.4729737945799945E-2</c:v>
                </c:pt>
                <c:pt idx="18">
                  <c:v>1.2378030594148446E-2</c:v>
                </c:pt>
                <c:pt idx="19">
                  <c:v>1.0352953239402581E-2</c:v>
                </c:pt>
                <c:pt idx="20">
                  <c:v>8.6189303701922956E-3</c:v>
                </c:pt>
                <c:pt idx="21">
                  <c:v>7.1422769815731504E-3</c:v>
                </c:pt>
                <c:pt idx="22">
                  <c:v>5.8915493699695605E-3</c:v>
                </c:pt>
                <c:pt idx="23">
                  <c:v>4.8377654616227625E-3</c:v>
                </c:pt>
                <c:pt idx="24">
                  <c:v>3.9545150626196911E-3</c:v>
                </c:pt>
                <c:pt idx="25">
                  <c:v>3.217980284046931E-3</c:v>
                </c:pt>
                <c:pt idx="26">
                  <c:v>2.6068852716440325E-3</c:v>
                </c:pt>
                <c:pt idx="27">
                  <c:v>2.1023925970385894E-3</c:v>
                </c:pt>
                <c:pt idx="28">
                  <c:v>1.6879615330011031E-3</c:v>
                </c:pt>
                <c:pt idx="29">
                  <c:v>1.3491811621426555E-3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48-4DCE-8118-64FE180A5AD6}"/>
            </c:ext>
          </c:extLst>
        </c:ser>
        <c:ser>
          <c:idx val="7"/>
          <c:order val="7"/>
          <c:tx>
            <c:strRef>
              <c:f>'4.BivariateC'!$G$27</c:f>
              <c:strCache>
                <c:ptCount val="1"/>
                <c:pt idx="0">
                  <c:v>-0.52</c:v>
                </c:pt>
              </c:strCache>
            </c:strRef>
          </c:tx>
          <c:spPr>
            <a:solidFill>
              <a:srgbClr val="A2BD9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'4.BivariateC'!$H$27:$AK$27</c:f>
              <c:numCache>
                <c:formatCode>0.00</c:formatCode>
                <c:ptCount val="30"/>
                <c:pt idx="0">
                  <c:v>0.13410470528257618</c:v>
                </c:pt>
                <c:pt idx="1">
                  <c:v>0.1228701298779479</c:v>
                </c:pt>
                <c:pt idx="2">
                  <c:v>0.11196539585721688</c:v>
                </c:pt>
                <c:pt idx="3">
                  <c:v>0.10147397362709629</c:v>
                </c:pt>
                <c:pt idx="4">
                  <c:v>9.1466836317499689E-2</c:v>
                </c:pt>
                <c:pt idx="5">
                  <c:v>8.2001441165678327E-2</c:v>
                </c:pt>
                <c:pt idx="6">
                  <c:v>7.3121305685398291E-2</c:v>
                </c:pt>
                <c:pt idx="7">
                  <c:v>6.485613664280919E-2</c:v>
                </c:pt>
                <c:pt idx="8">
                  <c:v>5.722244295594564E-2</c:v>
                </c:pt>
                <c:pt idx="9">
                  <c:v>5.0224544946627751E-2</c:v>
                </c:pt>
                <c:pt idx="10">
                  <c:v>4.385588221801974E-2</c:v>
                </c:pt>
                <c:pt idx="11">
                  <c:v>3.8100520303666681E-2</c:v>
                </c:pt>
                <c:pt idx="12">
                  <c:v>3.2934760993044883E-2</c:v>
                </c:pt>
                <c:pt idx="13">
                  <c:v>2.832877133122878E-2</c:v>
                </c:pt>
                <c:pt idx="14">
                  <c:v>2.4248159981513865E-2</c:v>
                </c:pt>
                <c:pt idx="15">
                  <c:v>2.0655445220324985E-2</c:v>
                </c:pt>
                <c:pt idx="16">
                  <c:v>1.7511374781422038E-2</c:v>
                </c:pt>
                <c:pt idx="17">
                  <c:v>1.4776072853791275E-2</c:v>
                </c:pt>
                <c:pt idx="18">
                  <c:v>1.2410002883155222E-2</c:v>
                </c:pt>
                <c:pt idx="19">
                  <c:v>1.0374745897528887E-2</c:v>
                </c:pt>
                <c:pt idx="20">
                  <c:v>8.633602652568453E-3</c:v>
                </c:pt>
                <c:pt idx="21">
                  <c:v>7.1520340063720989E-3</c:v>
                </c:pt>
                <c:pt idx="22">
                  <c:v>5.8979578035567989E-3</c:v>
                </c:pt>
                <c:pt idx="23">
                  <c:v>4.8419225066063786E-3</c:v>
                </c:pt>
                <c:pt idx="24">
                  <c:v>3.9571782428938669E-3</c:v>
                </c:pt>
                <c:pt idx="25">
                  <c:v>3.2196652262929918E-3</c:v>
                </c:pt>
                <c:pt idx="26">
                  <c:v>2.6079380200204065E-3</c:v>
                </c:pt>
                <c:pt idx="27">
                  <c:v>2.1030421380292402E-3</c:v>
                </c:pt>
                <c:pt idx="28">
                  <c:v>1.6883572812883244E-3</c:v>
                </c:pt>
                <c:pt idx="29">
                  <c:v>1.3494192574315534E-3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48-4DCE-8118-64FE180A5AD6}"/>
            </c:ext>
          </c:extLst>
        </c:ser>
        <c:ser>
          <c:idx val="8"/>
          <c:order val="8"/>
          <c:tx>
            <c:strRef>
              <c:f>'4.BivariateC'!$G$28</c:f>
              <c:strCache>
                <c:ptCount val="1"/>
                <c:pt idx="0">
                  <c:v>-0.45</c:v>
                </c:pt>
              </c:strCache>
            </c:strRef>
          </c:tx>
          <c:spPr>
            <a:solidFill>
              <a:srgbClr val="63AAF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'4.BivariateC'!$H$28:$AK$28</c:f>
              <c:numCache>
                <c:formatCode>0.00</c:formatCode>
                <c:ptCount val="30"/>
                <c:pt idx="0">
                  <c:v>0.13785508268061109</c:v>
                </c:pt>
                <c:pt idx="1">
                  <c:v>0.12599431324638313</c:v>
                </c:pt>
                <c:pt idx="2">
                  <c:v>0.11454004550431045</c:v>
                </c:pt>
                <c:pt idx="3">
                  <c:v>0.10357268316414547</c:v>
                </c:pt>
                <c:pt idx="4">
                  <c:v>9.315874411743201E-2</c:v>
                </c:pt>
                <c:pt idx="5">
                  <c:v>8.3350197528541323E-2</c:v>
                </c:pt>
                <c:pt idx="6">
                  <c:v>7.4184394192801845E-2</c:v>
                </c:pt>
                <c:pt idx="7">
                  <c:v>6.5684527114785146E-2</c:v>
                </c:pt>
                <c:pt idx="8">
                  <c:v>5.7860537252810214E-2</c:v>
                </c:pt>
                <c:pt idx="9">
                  <c:v>5.0710366144312159E-2</c:v>
                </c:pt>
                <c:pt idx="10">
                  <c:v>4.4221452377393028E-2</c:v>
                </c:pt>
                <c:pt idx="11">
                  <c:v>3.8372371602262631E-2</c:v>
                </c:pt>
                <c:pt idx="12">
                  <c:v>3.3134528490228944E-2</c:v>
                </c:pt>
                <c:pt idx="13">
                  <c:v>2.8473822005270936E-2</c:v>
                </c:pt>
                <c:pt idx="14">
                  <c:v>2.4352220782243233E-2</c:v>
                </c:pt>
                <c:pt idx="15">
                  <c:v>2.0729201684293184E-2</c:v>
                </c:pt>
                <c:pt idx="16">
                  <c:v>1.7563020392591212E-2</c:v>
                </c:pt>
                <c:pt idx="17">
                  <c:v>1.4811797158499628E-2</c:v>
                </c:pt>
                <c:pt idx="18">
                  <c:v>1.2434412973424815E-2</c:v>
                </c:pt>
                <c:pt idx="19">
                  <c:v>1.039122106691823E-2</c:v>
                </c:pt>
                <c:pt idx="20">
                  <c:v>8.6445857871246881E-3</c:v>
                </c:pt>
                <c:pt idx="21">
                  <c:v>7.159265714370781E-3</c:v>
                </c:pt>
                <c:pt idx="22">
                  <c:v>5.9026606090132978E-3</c:v>
                </c:pt>
                <c:pt idx="23">
                  <c:v>4.8449428696350511E-3</c:v>
                </c:pt>
                <c:pt idx="24">
                  <c:v>3.9590939658330059E-3</c:v>
                </c:pt>
                <c:pt idx="25">
                  <c:v>3.2208651786346811E-3</c:v>
                </c:pt>
                <c:pt idx="26">
                  <c:v>2.6086802529109864E-3</c:v>
                </c:pt>
                <c:pt idx="27">
                  <c:v>2.1034955043145037E-3</c:v>
                </c:pt>
                <c:pt idx="28">
                  <c:v>1.6886307324145569E-3</c:v>
                </c:pt>
                <c:pt idx="29">
                  <c:v>1.3495821198913531E-3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48-4DCE-8118-64FE180A5AD6}"/>
            </c:ext>
          </c:extLst>
        </c:ser>
        <c:ser>
          <c:idx val="9"/>
          <c:order val="9"/>
          <c:tx>
            <c:strRef>
              <c:f>'4.BivariateC'!$G$29</c:f>
              <c:strCache>
                <c:ptCount val="1"/>
                <c:pt idx="0">
                  <c:v>-0.38</c:v>
                </c:pt>
              </c:strCache>
            </c:strRef>
          </c:tx>
          <c:spPr>
            <a:solidFill>
              <a:srgbClr val="DD2D3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'4.BivariateC'!$H$29:$AK$29</c:f>
              <c:numCache>
                <c:formatCode>0.00</c:formatCode>
                <c:ptCount val="30"/>
                <c:pt idx="0">
                  <c:v>0.1412002903728162</c:v>
                </c:pt>
                <c:pt idx="1">
                  <c:v>0.12875710247770061</c:v>
                </c:pt>
                <c:pt idx="2">
                  <c:v>0.11679707948433428</c:v>
                </c:pt>
                <c:pt idx="3">
                  <c:v>0.10539628790829431</c:v>
                </c:pt>
                <c:pt idx="4">
                  <c:v>9.4615769057356316E-2</c:v>
                </c:pt>
                <c:pt idx="5">
                  <c:v>8.4501243626141295E-2</c:v>
                </c:pt>
                <c:pt idx="6">
                  <c:v>7.5083390241057271E-2</c:v>
                </c:pt>
                <c:pt idx="7">
                  <c:v>6.6378617150632105E-2</c:v>
                </c:pt>
                <c:pt idx="8">
                  <c:v>5.8390229814831912E-2</c:v>
                </c:pt>
                <c:pt idx="9">
                  <c:v>5.1109889547521693E-2</c:v>
                </c:pt>
                <c:pt idx="10">
                  <c:v>4.4519258773094247E-2</c:v>
                </c:pt>
                <c:pt idx="11">
                  <c:v>3.8591735472647479E-2</c:v>
                </c:pt>
                <c:pt idx="12">
                  <c:v>3.3294191296711302E-2</c:v>
                </c:pt>
                <c:pt idx="13">
                  <c:v>2.858864280045726E-2</c:v>
                </c:pt>
                <c:pt idx="14">
                  <c:v>2.4433801608976086E-2</c:v>
                </c:pt>
                <c:pt idx="15">
                  <c:v>2.0786465587735881E-2</c:v>
                </c:pt>
                <c:pt idx="16">
                  <c:v>1.7602728151576475E-2</c:v>
                </c:pt>
                <c:pt idx="17">
                  <c:v>1.4838995929883516E-2</c:v>
                </c:pt>
                <c:pt idx="18">
                  <c:v>1.2452815695200885E-2</c:v>
                </c:pt>
                <c:pt idx="19">
                  <c:v>1.0403519632110416E-2</c:v>
                </c:pt>
                <c:pt idx="20">
                  <c:v>8.6527037761080158E-3</c:v>
                </c:pt>
                <c:pt idx="21">
                  <c:v>7.1645580485640986E-3</c:v>
                </c:pt>
                <c:pt idx="22">
                  <c:v>5.9060681030053633E-3</c:v>
                </c:pt>
                <c:pt idx="23">
                  <c:v>4.8471095617566217E-3</c:v>
                </c:pt>
                <c:pt idx="24">
                  <c:v>3.9604545321779696E-3</c:v>
                </c:pt>
                <c:pt idx="25">
                  <c:v>3.2217088817490078E-3</c:v>
                </c:pt>
                <c:pt idx="26">
                  <c:v>2.6091969009275199E-3</c:v>
                </c:pt>
                <c:pt idx="27">
                  <c:v>2.1038079133390629E-3</c:v>
                </c:pt>
                <c:pt idx="28">
                  <c:v>1.6888172695243011E-3</c:v>
                </c:pt>
                <c:pt idx="29">
                  <c:v>1.349692098846019E-3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448-4DCE-8118-64FE180A5AD6}"/>
            </c:ext>
          </c:extLst>
        </c:ser>
        <c:ser>
          <c:idx val="10"/>
          <c:order val="10"/>
          <c:tx>
            <c:strRef>
              <c:f>'4.BivariateC'!$G$30</c:f>
              <c:strCache>
                <c:ptCount val="1"/>
                <c:pt idx="0">
                  <c:v>-0.31</c:v>
                </c:pt>
              </c:strCache>
            </c:strRef>
          </c:tx>
          <c:spPr>
            <a:solidFill>
              <a:srgbClr val="FFF58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'4.BivariateC'!$H$30:$AK$30</c:f>
              <c:numCache>
                <c:formatCode>0.00</c:formatCode>
                <c:ptCount val="30"/>
                <c:pt idx="0">
                  <c:v>0.14414961507096022</c:v>
                </c:pt>
                <c:pt idx="1">
                  <c:v>0.13117182111509529</c:v>
                </c:pt>
                <c:pt idx="2">
                  <c:v>0.11875243197262864</c:v>
                </c:pt>
                <c:pt idx="3">
                  <c:v>0.10696209629668683</c:v>
                </c:pt>
                <c:pt idx="4">
                  <c:v>9.5855570537840759E-2</c:v>
                </c:pt>
                <c:pt idx="5">
                  <c:v>8.5471786557032955E-2</c:v>
                </c:pt>
                <c:pt idx="6">
                  <c:v>7.5834458339068822E-2</c:v>
                </c:pt>
                <c:pt idx="7">
                  <c:v>6.6953133316330612E-2</c:v>
                </c:pt>
                <c:pt idx="8">
                  <c:v>5.8824583187185149E-2</c:v>
                </c:pt>
                <c:pt idx="9">
                  <c:v>5.1434426942499591E-2</c:v>
                </c:pt>
                <c:pt idx="10">
                  <c:v>4.4758883823287396E-2</c:v>
                </c:pt>
                <c:pt idx="11">
                  <c:v>3.8766564455396092E-2</c:v>
                </c:pt>
                <c:pt idx="12">
                  <c:v>3.3420222622090996E-2</c:v>
                </c:pt>
                <c:pt idx="13">
                  <c:v>2.8678406276402547E-2</c:v>
                </c:pt>
                <c:pt idx="14">
                  <c:v>2.4496962910431373E-2</c:v>
                </c:pt>
                <c:pt idx="15">
                  <c:v>2.083037005145863E-2</c:v>
                </c:pt>
                <c:pt idx="16">
                  <c:v>1.7632875565808868E-2</c:v>
                </c:pt>
                <c:pt idx="17">
                  <c:v>1.4859444094856435E-2</c:v>
                </c:pt>
                <c:pt idx="18">
                  <c:v>1.2466515108798438E-2</c:v>
                </c:pt>
                <c:pt idx="19">
                  <c:v>1.0412584776896938E-2</c:v>
                </c:pt>
                <c:pt idx="20">
                  <c:v>8.6586283290867698E-3</c:v>
                </c:pt>
                <c:pt idx="21">
                  <c:v>7.1683821423883295E-3</c:v>
                </c:pt>
                <c:pt idx="22">
                  <c:v>5.9085057939286603E-3</c:v>
                </c:pt>
                <c:pt idx="23">
                  <c:v>4.8486441499770855E-3</c:v>
                </c:pt>
                <c:pt idx="24">
                  <c:v>3.9614085467943195E-3</c:v>
                </c:pt>
                <c:pt idx="25">
                  <c:v>3.2222945555142597E-3</c:v>
                </c:pt>
                <c:pt idx="26">
                  <c:v>2.6095519451496425E-3</c:v>
                </c:pt>
                <c:pt idx="27">
                  <c:v>2.104020445232834E-3</c:v>
                </c:pt>
                <c:pt idx="28">
                  <c:v>1.6889428928943977E-3</c:v>
                </c:pt>
                <c:pt idx="29">
                  <c:v>1.349765417030936E-3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448-4DCE-8118-64FE180A5AD6}"/>
            </c:ext>
          </c:extLst>
        </c:ser>
        <c:ser>
          <c:idx val="11"/>
          <c:order val="11"/>
          <c:tx>
            <c:strRef>
              <c:f>'4.BivariateC'!$G$31</c:f>
              <c:strCache>
                <c:ptCount val="1"/>
                <c:pt idx="0">
                  <c:v>-0.24</c:v>
                </c:pt>
              </c:strCache>
            </c:strRef>
          </c:tx>
          <c:spPr>
            <a:solidFill>
              <a:srgbClr val="4EE257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'4.BivariateC'!$H$31:$AK$31</c:f>
              <c:numCache>
                <c:formatCode>0.00</c:formatCode>
                <c:ptCount val="30"/>
                <c:pt idx="0">
                  <c:v>0.14671964475447716</c:v>
                </c:pt>
                <c:pt idx="1">
                  <c:v>0.13325756118143009</c:v>
                </c:pt>
                <c:pt idx="2">
                  <c:v>0.12042640639343952</c:v>
                </c:pt>
                <c:pt idx="3">
                  <c:v>0.10829055517281586</c:v>
                </c:pt>
                <c:pt idx="4">
                  <c:v>9.6897903231764546E-2</c:v>
                </c:pt>
                <c:pt idx="5">
                  <c:v>8.628027853346952E-2</c:v>
                </c:pt>
                <c:pt idx="6">
                  <c:v>7.6454344450764641E-2</c:v>
                </c:pt>
                <c:pt idx="7">
                  <c:v>6.7422891057006273E-2</c:v>
                </c:pt>
                <c:pt idx="8">
                  <c:v>5.9176405884827157E-2</c:v>
                </c:pt>
                <c:pt idx="9">
                  <c:v>5.1694818216282606E-2</c:v>
                </c:pt>
                <c:pt idx="10">
                  <c:v>4.4949319799377677E-2</c:v>
                </c:pt>
                <c:pt idx="11">
                  <c:v>3.8904178017481333E-2</c:v>
                </c:pt>
                <c:pt idx="12">
                  <c:v>3.3518473166343418E-2</c:v>
                </c:pt>
                <c:pt idx="13">
                  <c:v>2.874770798956006E-2</c:v>
                </c:pt>
                <c:pt idx="14">
                  <c:v>2.4545253649974341E-2</c:v>
                </c:pt>
                <c:pt idx="15">
                  <c:v>2.0863610883925854E-2</c:v>
                </c:pt>
                <c:pt idx="16">
                  <c:v>1.7655477566257117E-2</c:v>
                </c:pt>
                <c:pt idx="17">
                  <c:v>1.4874623999205101E-2</c:v>
                </c:pt>
                <c:pt idx="18">
                  <c:v>1.247658488632092E-2</c:v>
                </c:pt>
                <c:pt idx="19">
                  <c:v>1.0419182318188561E-2</c:v>
                </c:pt>
                <c:pt idx="20">
                  <c:v>8.6628974610774984E-3</c:v>
                </c:pt>
                <c:pt idx="21">
                  <c:v>7.1711103481154129E-3</c:v>
                </c:pt>
                <c:pt idx="22">
                  <c:v>5.9102275852246618E-3</c:v>
                </c:pt>
                <c:pt idx="23">
                  <c:v>4.8497172406499981E-3</c:v>
                </c:pt>
                <c:pt idx="24">
                  <c:v>3.962068985204392E-3</c:v>
                </c:pt>
                <c:pt idx="25">
                  <c:v>3.2226959361690462E-3</c:v>
                </c:pt>
                <c:pt idx="26">
                  <c:v>2.6097928234486765E-3</c:v>
                </c:pt>
                <c:pt idx="27">
                  <c:v>2.1041631852016067E-3</c:v>
                </c:pt>
                <c:pt idx="28">
                  <c:v>1.6890264128700107E-3</c:v>
                </c:pt>
                <c:pt idx="29">
                  <c:v>1.3498136698479916E-3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448-4DCE-8118-64FE180A5AD6}"/>
            </c:ext>
          </c:extLst>
        </c:ser>
        <c:ser>
          <c:idx val="12"/>
          <c:order val="12"/>
          <c:tx>
            <c:strRef>
              <c:f>'4.BivariateC'!$G$32</c:f>
              <c:strCache>
                <c:ptCount val="1"/>
                <c:pt idx="0">
                  <c:v>-0.17</c:v>
                </c:pt>
              </c:strCache>
            </c:strRef>
          </c:tx>
          <c:spPr>
            <a:solidFill>
              <a:srgbClr val="6711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'4.BivariateC'!$H$32:$AK$32</c:f>
              <c:numCache>
                <c:formatCode>0.00</c:formatCode>
                <c:ptCount val="30"/>
                <c:pt idx="0">
                  <c:v>0.14893292574179698</c:v>
                </c:pt>
                <c:pt idx="1">
                  <c:v>0.13503788097584896</c:v>
                </c:pt>
                <c:pt idx="2">
                  <c:v>0.12184246427641594</c:v>
                </c:pt>
                <c:pt idx="3">
                  <c:v>0.10940416480237451</c:v>
                </c:pt>
                <c:pt idx="4">
                  <c:v>9.776367883903872E-2</c:v>
                </c:pt>
                <c:pt idx="5">
                  <c:v>8.6945633108963888E-2</c:v>
                </c:pt>
                <c:pt idx="6">
                  <c:v>7.6959743892657959E-2</c:v>
                </c:pt>
                <c:pt idx="7">
                  <c:v>6.7802303540626108E-2</c:v>
                </c:pt>
                <c:pt idx="8">
                  <c:v>5.9457886167599977E-2</c:v>
                </c:pt>
                <c:pt idx="9">
                  <c:v>5.1901171169587812E-2</c:v>
                </c:pt>
                <c:pt idx="10">
                  <c:v>4.5098794938501316E-2</c:v>
                </c:pt>
                <c:pt idx="11">
                  <c:v>3.9011155953200566E-2</c:v>
                </c:pt>
                <c:pt idx="12">
                  <c:v>3.3594114615026226E-2</c:v>
                </c:pt>
                <c:pt idx="13">
                  <c:v>2.8800545347247582E-2</c:v>
                </c:pt>
                <c:pt idx="14">
                  <c:v>2.4581713503501221E-2</c:v>
                </c:pt>
                <c:pt idx="15">
                  <c:v>2.0888462797200361E-2</c:v>
                </c:pt>
                <c:pt idx="16">
                  <c:v>1.7672209870868857E-2</c:v>
                </c:pt>
                <c:pt idx="17">
                  <c:v>1.4885751150234102E-2</c:v>
                </c:pt>
                <c:pt idx="18">
                  <c:v>1.2483893364831774E-2</c:v>
                </c:pt>
                <c:pt idx="19">
                  <c:v>1.042392330061237E-2</c:v>
                </c:pt>
                <c:pt idx="20">
                  <c:v>8.6659347964091644E-3</c:v>
                </c:pt>
                <c:pt idx="21">
                  <c:v>7.1730320489140813E-3</c:v>
                </c:pt>
                <c:pt idx="22">
                  <c:v>5.9114282836022682E-3</c:v>
                </c:pt>
                <c:pt idx="23">
                  <c:v>4.8504580808075371E-3</c:v>
                </c:pt>
                <c:pt idx="24">
                  <c:v>3.9625203686419388E-3</c:v>
                </c:pt>
                <c:pt idx="25">
                  <c:v>3.2229675088098547E-3</c:v>
                </c:pt>
                <c:pt idx="26">
                  <c:v>2.6099541608791475E-3</c:v>
                </c:pt>
                <c:pt idx="27">
                  <c:v>2.1042578270080857E-3</c:v>
                </c:pt>
                <c:pt idx="28">
                  <c:v>1.6890812305026882E-3</c:v>
                </c:pt>
                <c:pt idx="29">
                  <c:v>1.3498450198830652E-3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448-4DCE-8118-64FE180A5AD6}"/>
            </c:ext>
          </c:extLst>
        </c:ser>
        <c:ser>
          <c:idx val="13"/>
          <c:order val="13"/>
          <c:tx>
            <c:strRef>
              <c:f>'4.BivariateC'!$G$33</c:f>
              <c:strCache>
                <c:ptCount val="1"/>
                <c:pt idx="0">
                  <c:v>-0.10</c:v>
                </c:pt>
              </c:strCache>
            </c:strRef>
          </c:tx>
          <c:spPr>
            <a:solidFill>
              <a:srgbClr val="FEA74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'4.BivariateC'!$H$33:$AK$33</c:f>
              <c:numCache>
                <c:formatCode>0.00</c:formatCode>
                <c:ptCount val="30"/>
                <c:pt idx="0">
                  <c:v>0.15081651697281498</c:v>
                </c:pt>
                <c:pt idx="1">
                  <c:v>0.13653947048870321</c:v>
                </c:pt>
                <c:pt idx="2">
                  <c:v>0.1230260370762576</c:v>
                </c:pt>
                <c:pt idx="3">
                  <c:v>0.1103264570419584</c:v>
                </c:pt>
                <c:pt idx="4">
                  <c:v>9.8474117025785651E-2</c:v>
                </c:pt>
                <c:pt idx="5">
                  <c:v>8.7486544256964102E-2</c:v>
                </c:pt>
                <c:pt idx="6">
                  <c:v>7.7366775660160772E-2</c:v>
                </c:pt>
                <c:pt idx="7">
                  <c:v>6.8104992882545609E-2</c:v>
                </c:pt>
                <c:pt idx="8">
                  <c:v>5.9680318924598373E-2</c:v>
                </c:pt>
                <c:pt idx="9">
                  <c:v>5.2062682097586396E-2</c:v>
                </c:pt>
                <c:pt idx="10">
                  <c:v>4.5214666700682409E-2</c:v>
                </c:pt>
                <c:pt idx="11">
                  <c:v>3.9093285393333808E-2</c:v>
                </c:pt>
                <c:pt idx="12">
                  <c:v>3.3651624243026333E-2</c:v>
                </c:pt>
                <c:pt idx="13">
                  <c:v>2.8840326679028468E-2</c:v>
                </c:pt>
                <c:pt idx="14">
                  <c:v>2.460889625065742E-2</c:v>
                </c:pt>
                <c:pt idx="15">
                  <c:v>2.0906809680733482E-2</c:v>
                </c:pt>
                <c:pt idx="16">
                  <c:v>1.7684441018320934E-2</c:v>
                </c:pt>
                <c:pt idx="17">
                  <c:v>1.4893804754506553E-2</c:v>
                </c:pt>
                <c:pt idx="18">
                  <c:v>1.2489130755217914E-2</c:v>
                </c:pt>
                <c:pt idx="19">
                  <c:v>1.0427287065469276E-2</c:v>
                </c:pt>
                <c:pt idx="20">
                  <c:v>8.6680683706160215E-3</c:v>
                </c:pt>
                <c:pt idx="21">
                  <c:v>7.1743684832893274E-3</c:v>
                </c:pt>
                <c:pt idx="22">
                  <c:v>5.9122549541014615E-3</c:v>
                </c:pt>
                <c:pt idx="23">
                  <c:v>4.8509630327927033E-3</c:v>
                </c:pt>
                <c:pt idx="24">
                  <c:v>3.96282494010746E-3</c:v>
                </c:pt>
                <c:pt idx="25">
                  <c:v>3.2231489095825771E-3</c:v>
                </c:pt>
                <c:pt idx="26">
                  <c:v>2.6100608425392341E-3</c:v>
                </c:pt>
                <c:pt idx="27">
                  <c:v>2.1043197756236785E-3</c:v>
                </c:pt>
                <c:pt idx="28">
                  <c:v>1.6891167490897293E-3</c:v>
                </c:pt>
                <c:pt idx="29">
                  <c:v>1.3498651271718382E-3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448-4DCE-8118-64FE180A5AD6}"/>
            </c:ext>
          </c:extLst>
        </c:ser>
        <c:ser>
          <c:idx val="14"/>
          <c:order val="14"/>
          <c:tx>
            <c:strRef>
              <c:f>'4.BivariateC'!$G$34</c:f>
              <c:strCache>
                <c:ptCount val="1"/>
                <c:pt idx="0">
                  <c:v>-0.03</c:v>
                </c:pt>
              </c:strCache>
            </c:strRef>
          </c:tx>
          <c:spPr>
            <a:solidFill>
              <a:srgbClr val="865357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'4.BivariateC'!$H$34:$AK$34</c:f>
              <c:numCache>
                <c:formatCode>0.00</c:formatCode>
                <c:ptCount val="30"/>
                <c:pt idx="0">
                  <c:v>0.15240053159155204</c:v>
                </c:pt>
                <c:pt idx="1">
                  <c:v>0.13779086064109947</c:v>
                </c:pt>
                <c:pt idx="2">
                  <c:v>0.12400342212348549</c:v>
                </c:pt>
                <c:pt idx="3">
                  <c:v>0.11108108289294372</c:v>
                </c:pt>
                <c:pt idx="4">
                  <c:v>9.90500179402731E-2</c:v>
                </c:pt>
                <c:pt idx="5">
                  <c:v>8.7920928638662368E-2</c:v>
                </c:pt>
                <c:pt idx="6">
                  <c:v>7.7690573640902455E-2</c:v>
                </c:pt>
                <c:pt idx="7">
                  <c:v>6.8343506623599642E-2</c:v>
                </c:pt>
                <c:pt idx="8">
                  <c:v>5.9853923152706275E-2</c:v>
                </c:pt>
                <c:pt idx="9">
                  <c:v>5.2187531183663337E-2</c:v>
                </c:pt>
                <c:pt idx="10">
                  <c:v>4.5303374383953161E-2</c:v>
                </c:pt>
                <c:pt idx="11">
                  <c:v>3.9155553037973238E-2</c:v>
                </c:pt>
                <c:pt idx="12">
                  <c:v>3.3694802514748629E-2</c:v>
                </c:pt>
                <c:pt idx="13">
                  <c:v>2.8869903233833549E-2</c:v>
                </c:pt>
                <c:pt idx="14">
                  <c:v>2.4628908172895869E-2</c:v>
                </c:pt>
                <c:pt idx="15">
                  <c:v>2.0920183937896557E-2</c:v>
                </c:pt>
                <c:pt idx="16">
                  <c:v>1.7693269218662013E-2</c:v>
                </c:pt>
                <c:pt idx="17">
                  <c:v>1.4899560207439292E-2</c:v>
                </c:pt>
                <c:pt idx="18">
                  <c:v>1.2492836503274554E-2</c:v>
                </c:pt>
                <c:pt idx="19">
                  <c:v>1.042964345215004E-2</c:v>
                </c:pt>
                <c:pt idx="20">
                  <c:v>8.6695480842030985E-3</c:v>
                </c:pt>
                <c:pt idx="21">
                  <c:v>7.1752860891718361E-3</c:v>
                </c:pt>
                <c:pt idx="22">
                  <c:v>5.9128168681860192E-3</c:v>
                </c:pt>
                <c:pt idx="23">
                  <c:v>4.851302820256094E-3</c:v>
                </c:pt>
                <c:pt idx="24">
                  <c:v>3.963027828717082E-3</c:v>
                </c:pt>
                <c:pt idx="25">
                  <c:v>3.2232685314737592E-3</c:v>
                </c:pt>
                <c:pt idx="26">
                  <c:v>2.6101304822132407E-3</c:v>
                </c:pt>
                <c:pt idx="27">
                  <c:v>2.1043598057338847E-3</c:v>
                </c:pt>
                <c:pt idx="28">
                  <c:v>1.6891394682491995E-3</c:v>
                </c:pt>
                <c:pt idx="29">
                  <c:v>1.3498778582459871E-3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448-4DCE-8118-64FE180A5AD6}"/>
            </c:ext>
          </c:extLst>
        </c:ser>
        <c:ser>
          <c:idx val="15"/>
          <c:order val="15"/>
          <c:tx>
            <c:strRef>
              <c:f>'4.BivariateC'!$G$35</c:f>
              <c:strCache>
                <c:ptCount val="1"/>
                <c:pt idx="0">
                  <c:v>0.03</c:v>
                </c:pt>
              </c:strCache>
            </c:strRef>
          </c:tx>
          <c:spPr>
            <a:solidFill>
              <a:srgbClr val="A2BD9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'4.BivariateC'!$H$35:$AK$35</c:f>
              <c:numCache>
                <c:formatCode>0.00</c:formatCode>
                <c:ptCount val="30"/>
                <c:pt idx="0">
                  <c:v>0.15371674597783067</c:v>
                </c:pt>
                <c:pt idx="1">
                  <c:v>0.13882123990446368</c:v>
                </c:pt>
                <c:pt idx="2">
                  <c:v>0.1248008099871825</c:v>
                </c:pt>
                <c:pt idx="3">
                  <c:v>0.11169104179061247</c:v>
                </c:pt>
                <c:pt idx="4">
                  <c:v>9.9511175770207863E-2</c:v>
                </c:pt>
                <c:pt idx="5">
                  <c:v>8.8265500065914104E-2</c:v>
                </c:pt>
                <c:pt idx="6">
                  <c:v>7.7944995786493929E-2</c:v>
                </c:pt>
                <c:pt idx="7">
                  <c:v>6.8529134992967394E-2</c:v>
                </c:pt>
                <c:pt idx="8">
                  <c:v>5.9987742125301197E-2</c:v>
                </c:pt>
                <c:pt idx="9">
                  <c:v>5.228284309053001E-2</c:v>
                </c:pt>
                <c:pt idx="10">
                  <c:v>4.5370441080203217E-2</c:v>
                </c:pt>
                <c:pt idx="11">
                  <c:v>3.9202173105743927E-2</c:v>
                </c:pt>
                <c:pt idx="12">
                  <c:v>3.3726815244219603E-2</c:v>
                </c:pt>
                <c:pt idx="13">
                  <c:v>2.8891617013095811E-2</c:v>
                </c:pt>
                <c:pt idx="14">
                  <c:v>2.4643455778719757E-2</c:v>
                </c:pt>
                <c:pt idx="15">
                  <c:v>2.0929810534798268E-2</c:v>
                </c:pt>
                <c:pt idx="16">
                  <c:v>1.7699560833774792E-2</c:v>
                </c:pt>
                <c:pt idx="17">
                  <c:v>1.4903621307012208E-2</c:v>
                </c:pt>
                <c:pt idx="18">
                  <c:v>1.2495425325915762E-2</c:v>
                </c:pt>
                <c:pt idx="19">
                  <c:v>1.0431273213805691E-2</c:v>
                </c:pt>
                <c:pt idx="20">
                  <c:v>8.6705612857834336E-3</c:v>
                </c:pt>
                <c:pt idx="21">
                  <c:v>7.1759081104062258E-3</c:v>
                </c:pt>
                <c:pt idx="22">
                  <c:v>5.9131939542776237E-3</c:v>
                </c:pt>
                <c:pt idx="23">
                  <c:v>4.8515285510529627E-3</c:v>
                </c:pt>
                <c:pt idx="24">
                  <c:v>3.963161256353505E-3</c:v>
                </c:pt>
                <c:pt idx="25">
                  <c:v>3.2233464060540712E-3</c:v>
                </c:pt>
                <c:pt idx="26">
                  <c:v>2.6101753599981031E-3</c:v>
                </c:pt>
                <c:pt idx="27">
                  <c:v>2.1043853412241994E-3</c:v>
                </c:pt>
                <c:pt idx="28">
                  <c:v>1.6891538140861462E-3</c:v>
                </c:pt>
                <c:pt idx="29">
                  <c:v>1.3498858156008615E-3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448-4DCE-8118-64FE180A5AD6}"/>
            </c:ext>
          </c:extLst>
        </c:ser>
        <c:ser>
          <c:idx val="16"/>
          <c:order val="16"/>
          <c:tx>
            <c:strRef>
              <c:f>'4.BivariateC'!$G$36</c:f>
              <c:strCache>
                <c:ptCount val="1"/>
                <c:pt idx="0">
                  <c:v>0.10</c:v>
                </c:pt>
              </c:strCache>
            </c:strRef>
          </c:tx>
          <c:spPr>
            <a:solidFill>
              <a:srgbClr val="00CC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'4.BivariateC'!$H$36:$AK$36</c:f>
              <c:numCache>
                <c:formatCode>0.00</c:formatCode>
                <c:ptCount val="30"/>
                <c:pt idx="0">
                  <c:v>0.1547973415240787</c:v>
                </c:pt>
                <c:pt idx="1">
                  <c:v>0.13965942601473663</c:v>
                </c:pt>
                <c:pt idx="2">
                  <c:v>0.12544347498943012</c:v>
                </c:pt>
                <c:pt idx="3">
                  <c:v>0.11217807070783101</c:v>
                </c:pt>
                <c:pt idx="4">
                  <c:v>9.9875940444663594E-2</c:v>
                </c:pt>
                <c:pt idx="5">
                  <c:v>8.8535475042082576E-2</c:v>
                </c:pt>
                <c:pt idx="6">
                  <c:v>7.8142444494694499E-2</c:v>
                </c:pt>
                <c:pt idx="7">
                  <c:v>6.8671818835430692E-2</c:v>
                </c:pt>
                <c:pt idx="8">
                  <c:v>6.0089614592613784E-2</c:v>
                </c:pt>
                <c:pt idx="9">
                  <c:v>5.2354700932195852E-2</c:v>
                </c:pt>
                <c:pt idx="10">
                  <c:v>4.5420513943615695E-2</c:v>
                </c:pt>
                <c:pt idx="11">
                  <c:v>3.9236641326637373E-2</c:v>
                </c:pt>
                <c:pt idx="12">
                  <c:v>3.3750252258803633E-2</c:v>
                </c:pt>
                <c:pt idx="13">
                  <c:v>2.8907358034474747E-2</c:v>
                </c:pt>
                <c:pt idx="14">
                  <c:v>2.4653897984262315E-2</c:v>
                </c:pt>
                <c:pt idx="15">
                  <c:v>2.0936652218475214E-2</c:v>
                </c:pt>
                <c:pt idx="16">
                  <c:v>1.7703988032225712E-2</c:v>
                </c:pt>
                <c:pt idx="17">
                  <c:v>1.4906450581462323E-2</c:v>
                </c:pt>
                <c:pt idx="18">
                  <c:v>1.2497210937694002E-2</c:v>
                </c:pt>
                <c:pt idx="19">
                  <c:v>1.0432386102021384E-2</c:v>
                </c:pt>
                <c:pt idx="20">
                  <c:v>8.6712462313397118E-3</c:v>
                </c:pt>
                <c:pt idx="21">
                  <c:v>7.1763243935124895E-3</c:v>
                </c:pt>
                <c:pt idx="22">
                  <c:v>5.9134437808669275E-3</c:v>
                </c:pt>
                <c:pt idx="23">
                  <c:v>4.8516765965582838E-3</c:v>
                </c:pt>
                <c:pt idx="24">
                  <c:v>3.9632478824302058E-3</c:v>
                </c:pt>
                <c:pt idx="25">
                  <c:v>3.2233964543883489E-3</c:v>
                </c:pt>
                <c:pt idx="26">
                  <c:v>2.6102039102143949E-3</c:v>
                </c:pt>
                <c:pt idx="27">
                  <c:v>2.1044014217291565E-3</c:v>
                </c:pt>
                <c:pt idx="28">
                  <c:v>1.6891627564559804E-3</c:v>
                </c:pt>
                <c:pt idx="29">
                  <c:v>1.3498907253671252E-3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448-4DCE-8118-64FE180A5AD6}"/>
            </c:ext>
          </c:extLst>
        </c:ser>
        <c:ser>
          <c:idx val="17"/>
          <c:order val="17"/>
          <c:tx>
            <c:strRef>
              <c:f>'4.BivariateC'!$G$37</c:f>
              <c:strCache>
                <c:ptCount val="1"/>
                <c:pt idx="0">
                  <c:v>0.17</c:v>
                </c:pt>
              </c:strCache>
            </c:strRef>
          </c:tx>
          <c:spPr>
            <a:solidFill>
              <a:srgbClr val="CCFF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'4.BivariateC'!$H$37:$AK$37</c:f>
              <c:numCache>
                <c:formatCode>0.00</c:formatCode>
                <c:ptCount val="30"/>
                <c:pt idx="0">
                  <c:v>0.15567382661547705</c:v>
                </c:pt>
                <c:pt idx="1">
                  <c:v>0.14033302328762365</c:v>
                </c:pt>
                <c:pt idx="2">
                  <c:v>0.12595514501607227</c:v>
                </c:pt>
                <c:pt idx="3">
                  <c:v>0.1125621978000157</c:v>
                </c:pt>
                <c:pt idx="4">
                  <c:v>0.10016092377501132</c:v>
                </c:pt>
                <c:pt idx="5">
                  <c:v>8.874440002358637E-2</c:v>
                </c:pt>
                <c:pt idx="6">
                  <c:v>7.8293785599341581E-2</c:v>
                </c:pt>
                <c:pt idx="7">
                  <c:v>6.878013429278701E-2</c:v>
                </c:pt>
                <c:pt idx="8">
                  <c:v>6.0166203238637528E-2</c:v>
                </c:pt>
                <c:pt idx="9">
                  <c:v>5.2408200960299807E-2</c:v>
                </c:pt>
                <c:pt idx="10">
                  <c:v>4.5457431779633656E-2</c:v>
                </c:pt>
                <c:pt idx="11">
                  <c:v>3.9261805900143276E-2</c:v>
                </c:pt>
                <c:pt idx="12">
                  <c:v>3.3767195401296489E-2</c:v>
                </c:pt>
                <c:pt idx="13">
                  <c:v>2.8918625614876778E-2</c:v>
                </c:pt>
                <c:pt idx="14">
                  <c:v>2.4661298843825959E-2</c:v>
                </c:pt>
                <c:pt idx="15">
                  <c:v>2.0941453222413826E-2</c:v>
                </c:pt>
                <c:pt idx="16">
                  <c:v>1.770706388120016E-2</c:v>
                </c:pt>
                <c:pt idx="17">
                  <c:v>1.4908396687964032E-2</c:v>
                </c:pt>
                <c:pt idx="18">
                  <c:v>1.2498426909041653E-2</c:v>
                </c:pt>
                <c:pt idx="19">
                  <c:v>1.0433136380577921E-2</c:v>
                </c:pt>
                <c:pt idx="20">
                  <c:v>8.6717033745293721E-3</c:v>
                </c:pt>
                <c:pt idx="21">
                  <c:v>7.1765994369451056E-3</c:v>
                </c:pt>
                <c:pt idx="22">
                  <c:v>5.9136071834967989E-3</c:v>
                </c:pt>
                <c:pt idx="23">
                  <c:v>4.8517724517369342E-3</c:v>
                </c:pt>
                <c:pt idx="24">
                  <c:v>3.9633034039697661E-3</c:v>
                </c:pt>
                <c:pt idx="25">
                  <c:v>3.2234282076197746E-3</c:v>
                </c:pt>
                <c:pt idx="26">
                  <c:v>2.6102218404701403E-3</c:v>
                </c:pt>
                <c:pt idx="27">
                  <c:v>2.1044114182583802E-3</c:v>
                </c:pt>
                <c:pt idx="28">
                  <c:v>1.6891682590654893E-3</c:v>
                </c:pt>
                <c:pt idx="29">
                  <c:v>1.3498937158253654E-3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448-4DCE-8118-64FE180A5AD6}"/>
            </c:ext>
          </c:extLst>
        </c:ser>
        <c:ser>
          <c:idx val="18"/>
          <c:order val="18"/>
          <c:tx>
            <c:strRef>
              <c:f>'4.BivariateC'!$G$38</c:f>
              <c:strCache>
                <c:ptCount val="1"/>
                <c:pt idx="0">
                  <c:v>0.24</c:v>
                </c:pt>
              </c:strCache>
            </c:strRef>
          </c:tx>
          <c:spPr>
            <a:solidFill>
              <a:srgbClr val="CCFF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'4.BivariateC'!$H$38:$AK$38</c:f>
              <c:numCache>
                <c:formatCode>0.00</c:formatCode>
                <c:ptCount val="30"/>
                <c:pt idx="0">
                  <c:v>0.15637616741978322</c:v>
                </c:pt>
                <c:pt idx="1">
                  <c:v>0.14086777916856105</c:v>
                </c:pt>
                <c:pt idx="2">
                  <c:v>0.12635755248661701</c:v>
                </c:pt>
                <c:pt idx="3">
                  <c:v>0.11286145389401116</c:v>
                </c:pt>
                <c:pt idx="4">
                  <c:v>0.10038083774220735</c:v>
                </c:pt>
                <c:pt idx="5">
                  <c:v>8.8904085059693785E-2</c:v>
                </c:pt>
                <c:pt idx="6">
                  <c:v>7.8408349608216438E-2</c:v>
                </c:pt>
                <c:pt idx="7">
                  <c:v>6.8861338358470608E-2</c:v>
                </c:pt>
                <c:pt idx="8">
                  <c:v>6.0223065984403211E-2</c:v>
                </c:pt>
                <c:pt idx="9">
                  <c:v>5.2447535581927253E-2</c:v>
                </c:pt>
                <c:pt idx="10">
                  <c:v>4.5484309809070499E-2</c:v>
                </c:pt>
                <c:pt idx="11">
                  <c:v>3.9279947468652321E-2</c:v>
                </c:pt>
                <c:pt idx="12">
                  <c:v>3.377928990931043E-2</c:v>
                </c:pt>
                <c:pt idx="13">
                  <c:v>2.8926589404717321E-2</c:v>
                </c:pt>
                <c:pt idx="14">
                  <c:v>2.4666477928051152E-2</c:v>
                </c:pt>
                <c:pt idx="15">
                  <c:v>2.0944779605006004E-2</c:v>
                </c:pt>
                <c:pt idx="16">
                  <c:v>1.7709173786120958E-2</c:v>
                </c:pt>
                <c:pt idx="17">
                  <c:v>1.4909718322413605E-2</c:v>
                </c:pt>
                <c:pt idx="18">
                  <c:v>1.2499244441018027E-2</c:v>
                </c:pt>
                <c:pt idx="19">
                  <c:v>1.0433635760415833E-2</c:v>
                </c:pt>
                <c:pt idx="20">
                  <c:v>8.6720045910296615E-3</c:v>
                </c:pt>
                <c:pt idx="21">
                  <c:v>7.1767788430907439E-3</c:v>
                </c:pt>
                <c:pt idx="22">
                  <c:v>5.9137126942195506E-3</c:v>
                </c:pt>
                <c:pt idx="23">
                  <c:v>4.8518337216266298E-3</c:v>
                </c:pt>
                <c:pt idx="24">
                  <c:v>3.9633385341068181E-3</c:v>
                </c:pt>
                <c:pt idx="25">
                  <c:v>3.2234480954020793E-3</c:v>
                </c:pt>
                <c:pt idx="26">
                  <c:v>2.6102329567282766E-3</c:v>
                </c:pt>
                <c:pt idx="27">
                  <c:v>2.1044175528980229E-3</c:v>
                </c:pt>
                <c:pt idx="28">
                  <c:v>1.6891716015582524E-3</c:v>
                </c:pt>
                <c:pt idx="29">
                  <c:v>1.3498955138518025E-3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448-4DCE-8118-64FE180A5AD6}"/>
            </c:ext>
          </c:extLst>
        </c:ser>
        <c:ser>
          <c:idx val="19"/>
          <c:order val="19"/>
          <c:tx>
            <c:strRef>
              <c:f>'4.BivariateC'!$G$39</c:f>
              <c:strCache>
                <c:ptCount val="1"/>
                <c:pt idx="0">
                  <c:v>0.31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'4.BivariateC'!$H$39:$AK$39</c:f>
              <c:numCache>
                <c:formatCode>0.00</c:formatCode>
                <c:ptCount val="30"/>
                <c:pt idx="0">
                  <c:v>0.15693213801888997</c:v>
                </c:pt>
                <c:pt idx="1">
                  <c:v>0.14128713852676195</c:v>
                </c:pt>
                <c:pt idx="2">
                  <c:v>0.12667015639750959</c:v>
                </c:pt>
                <c:pt idx="3">
                  <c:v>0.11309172627903877</c:v>
                </c:pt>
                <c:pt idx="4">
                  <c:v>0.1005484466064368</c:v>
                </c:pt>
                <c:pt idx="5">
                  <c:v>8.9024624820543838E-2</c:v>
                </c:pt>
                <c:pt idx="6">
                  <c:v>7.8493997072088678E-2</c:v>
                </c:pt>
                <c:pt idx="7">
                  <c:v>6.8921459062472962E-2</c:v>
                </c:pt>
                <c:pt idx="8">
                  <c:v>6.026475630711374E-2</c:v>
                </c:pt>
                <c:pt idx="9">
                  <c:v>5.2476093464262921E-2</c:v>
                </c:pt>
                <c:pt idx="10">
                  <c:v>4.5503632858502743E-2</c:v>
                </c:pt>
                <c:pt idx="11">
                  <c:v>3.9292861593990695E-2</c:v>
                </c:pt>
                <c:pt idx="12">
                  <c:v>3.378781454840727E-2</c:v>
                </c:pt>
                <c:pt idx="13">
                  <c:v>2.8932147063056166E-2</c:v>
                </c:pt>
                <c:pt idx="14">
                  <c:v>2.467005639297996E-2</c:v>
                </c:pt>
                <c:pt idx="15">
                  <c:v>2.09470551005639E-2</c:v>
                </c:pt>
                <c:pt idx="16">
                  <c:v>1.7710602731635078E-2</c:v>
                </c:pt>
                <c:pt idx="17">
                  <c:v>1.4910604463326678E-2</c:v>
                </c:pt>
                <c:pt idx="18">
                  <c:v>1.2499787097661322E-2</c:v>
                </c:pt>
                <c:pt idx="19">
                  <c:v>1.0433963909486229E-2</c:v>
                </c:pt>
                <c:pt idx="20">
                  <c:v>8.6722005341982183E-3</c:v>
                </c:pt>
                <c:pt idx="21">
                  <c:v>7.1768943722919244E-3</c:v>
                </c:pt>
                <c:pt idx="22">
                  <c:v>5.9137799526134257E-3</c:v>
                </c:pt>
                <c:pt idx="23">
                  <c:v>4.8518723837066065E-3</c:v>
                </c:pt>
                <c:pt idx="24">
                  <c:v>3.9633604772766591E-3</c:v>
                </c:pt>
                <c:pt idx="25">
                  <c:v>3.2234603918828765E-3</c:v>
                </c:pt>
                <c:pt idx="26">
                  <c:v>2.6102397600649067E-3</c:v>
                </c:pt>
                <c:pt idx="27">
                  <c:v>2.1044212692383434E-3</c:v>
                </c:pt>
                <c:pt idx="28">
                  <c:v>1.689173605820316E-3</c:v>
                </c:pt>
                <c:pt idx="29">
                  <c:v>1.3498965810191364E-3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448-4DCE-8118-64FE180A5AD6}"/>
            </c:ext>
          </c:extLst>
        </c:ser>
        <c:ser>
          <c:idx val="20"/>
          <c:order val="20"/>
          <c:tx>
            <c:strRef>
              <c:f>'4.BivariateC'!$G$40</c:f>
              <c:strCache>
                <c:ptCount val="1"/>
                <c:pt idx="0">
                  <c:v>0.38</c:v>
                </c:pt>
              </c:strCache>
            </c:strRef>
          </c:tx>
          <c:spPr>
            <a:solidFill>
              <a:srgbClr val="99CC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'4.BivariateC'!$H$40:$AK$40</c:f>
              <c:numCache>
                <c:formatCode>0.00</c:formatCode>
                <c:ptCount val="30"/>
                <c:pt idx="0">
                  <c:v>0.15736688455903225</c:v>
                </c:pt>
                <c:pt idx="1">
                  <c:v>0.14161198184020582</c:v>
                </c:pt>
                <c:pt idx="2">
                  <c:v>0.12691001635584651</c:v>
                </c:pt>
                <c:pt idx="3">
                  <c:v>0.1132667332761611</c:v>
                </c:pt>
                <c:pt idx="4">
                  <c:v>0.10067461106204743</c:v>
                </c:pt>
                <c:pt idx="5">
                  <c:v>8.9114486553357186E-2</c:v>
                </c:pt>
                <c:pt idx="6">
                  <c:v>7.855722994070094E-2</c:v>
                </c:pt>
                <c:pt idx="7">
                  <c:v>6.8965414969544198E-2</c:v>
                </c:pt>
                <c:pt idx="8">
                  <c:v>6.0294940214324515E-2</c:v>
                </c:pt>
                <c:pt idx="9">
                  <c:v>5.2496567177065148E-2</c:v>
                </c:pt>
                <c:pt idx="10">
                  <c:v>4.5517349922856554E-2</c:v>
                </c:pt>
                <c:pt idx="11">
                  <c:v>3.9301938773531962E-2</c:v>
                </c:pt>
                <c:pt idx="12">
                  <c:v>3.3793747199348974E-2</c:v>
                </c:pt>
                <c:pt idx="13">
                  <c:v>2.8935976534362105E-2</c:v>
                </c:pt>
                <c:pt idx="14">
                  <c:v>2.4672497607990986E-2</c:v>
                </c:pt>
                <c:pt idx="15">
                  <c:v>2.0948591967966824E-2</c:v>
                </c:pt>
                <c:pt idx="16">
                  <c:v>1.7711558200960317E-2</c:v>
                </c:pt>
                <c:pt idx="17">
                  <c:v>1.4911191053391963E-2</c:v>
                </c:pt>
                <c:pt idx="18">
                  <c:v>1.2500142711475501E-2</c:v>
                </c:pt>
                <c:pt idx="19">
                  <c:v>1.0434176790805627E-2</c:v>
                </c:pt>
                <c:pt idx="20">
                  <c:v>8.6723263691169377E-3</c:v>
                </c:pt>
                <c:pt idx="21">
                  <c:v>7.1769678168719471E-3</c:v>
                </c:pt>
                <c:pt idx="22">
                  <c:v>5.9138222783093469E-3</c:v>
                </c:pt>
                <c:pt idx="23">
                  <c:v>4.8518964675374589E-3</c:v>
                </c:pt>
                <c:pt idx="24">
                  <c:v>3.9633740078418387E-3</c:v>
                </c:pt>
                <c:pt idx="25">
                  <c:v>3.2234678971726012E-3</c:v>
                </c:pt>
                <c:pt idx="26">
                  <c:v>2.6102438703580876E-3</c:v>
                </c:pt>
                <c:pt idx="27">
                  <c:v>2.1044234916525236E-3</c:v>
                </c:pt>
                <c:pt idx="28">
                  <c:v>1.6891747921829645E-3</c:v>
                </c:pt>
                <c:pt idx="29">
                  <c:v>1.3498972062550841E-3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448-4DCE-8118-64FE180A5AD6}"/>
            </c:ext>
          </c:extLst>
        </c:ser>
        <c:ser>
          <c:idx val="21"/>
          <c:order val="21"/>
          <c:tx>
            <c:strRef>
              <c:f>'4.BivariateC'!$G$41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99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'4.BivariateC'!$H$41:$AK$41</c:f>
              <c:numCache>
                <c:formatCode>0.00</c:formatCode>
                <c:ptCount val="30"/>
                <c:pt idx="0">
                  <c:v>0.15770268544942767</c:v>
                </c:pt>
                <c:pt idx="1">
                  <c:v>0.14186052438727548</c:v>
                </c:pt>
                <c:pt idx="2">
                  <c:v>0.12709179369416046</c:v>
                </c:pt>
                <c:pt idx="3">
                  <c:v>0.11339809489553974</c:v>
                </c:pt>
                <c:pt idx="4">
                  <c:v>0.10076840155463543</c:v>
                </c:pt>
                <c:pt idx="5">
                  <c:v>8.9180644877093304E-2</c:v>
                </c:pt>
                <c:pt idx="6">
                  <c:v>7.8603332084245636E-2</c:v>
                </c:pt>
                <c:pt idx="7">
                  <c:v>6.899715051433454E-2</c:v>
                </c:pt>
                <c:pt idx="8">
                  <c:v>6.0316519537026679E-2</c:v>
                </c:pt>
                <c:pt idx="9">
                  <c:v>5.2511060797521832E-2</c:v>
                </c:pt>
                <c:pt idx="10">
                  <c:v>4.5526964821149193E-2</c:v>
                </c:pt>
                <c:pt idx="11">
                  <c:v>3.9308238532781078E-2</c:v>
                </c:pt>
                <c:pt idx="12">
                  <c:v>3.3797823802899148E-2</c:v>
                </c:pt>
                <c:pt idx="13">
                  <c:v>2.8938581806606526E-2</c:v>
                </c:pt>
                <c:pt idx="14">
                  <c:v>2.4674141879917399E-2</c:v>
                </c:pt>
                <c:pt idx="15">
                  <c:v>2.0949616785921488E-2</c:v>
                </c:pt>
                <c:pt idx="16">
                  <c:v>1.7712188954696801E-2</c:v>
                </c:pt>
                <c:pt idx="17">
                  <c:v>1.4911574408432561E-2</c:v>
                </c:pt>
                <c:pt idx="18">
                  <c:v>1.2500372781307639E-2</c:v>
                </c:pt>
                <c:pt idx="19">
                  <c:v>1.0434313131305158E-2</c:v>
                </c:pt>
                <c:pt idx="20">
                  <c:v>8.6724061478156925E-3</c:v>
                </c:pt>
                <c:pt idx="21">
                  <c:v>7.1770139100432364E-3</c:v>
                </c:pt>
                <c:pt idx="22">
                  <c:v>5.913848572816344E-3</c:v>
                </c:pt>
                <c:pt idx="23">
                  <c:v>4.8519112778419929E-3</c:v>
                </c:pt>
                <c:pt idx="24">
                  <c:v>3.9633822440178273E-3</c:v>
                </c:pt>
                <c:pt idx="25">
                  <c:v>3.2234724192969416E-3</c:v>
                </c:pt>
                <c:pt idx="26">
                  <c:v>2.6102463217209581E-3</c:v>
                </c:pt>
                <c:pt idx="27">
                  <c:v>2.104424803593409E-3</c:v>
                </c:pt>
                <c:pt idx="28">
                  <c:v>1.6891754853791518E-3</c:v>
                </c:pt>
                <c:pt idx="29">
                  <c:v>1.349897567854149E-3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448-4DCE-8118-64FE180A5AD6}"/>
            </c:ext>
          </c:extLst>
        </c:ser>
        <c:ser>
          <c:idx val="22"/>
          <c:order val="22"/>
          <c:tx>
            <c:strRef>
              <c:f>'4.BivariateC'!$G$42</c:f>
              <c:strCache>
                <c:ptCount val="1"/>
                <c:pt idx="0">
                  <c:v>0.52</c:v>
                </c:pt>
              </c:strCache>
            </c:strRef>
          </c:tx>
          <c:spPr>
            <a:solidFill>
              <a:srgbClr val="CC9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'4.BivariateC'!$H$42:$AK$42</c:f>
              <c:numCache>
                <c:formatCode>0.00</c:formatCode>
                <c:ptCount val="30"/>
                <c:pt idx="0">
                  <c:v>0.15795888070472941</c:v>
                </c:pt>
                <c:pt idx="1">
                  <c:v>0.14204834800319621</c:v>
                </c:pt>
                <c:pt idx="2">
                  <c:v>0.12722785197177283</c:v>
                </c:pt>
                <c:pt idx="3">
                  <c:v>0.11349547422793897</c:v>
                </c:pt>
                <c:pt idx="4">
                  <c:v>0.10083725870899392</c:v>
                </c:pt>
                <c:pt idx="5">
                  <c:v>8.9228745095474529E-2</c:v>
                </c:pt>
                <c:pt idx="6">
                  <c:v>7.863652440862258E-2</c:v>
                </c:pt>
                <c:pt idx="7">
                  <c:v>6.9019776078946188E-2</c:v>
                </c:pt>
                <c:pt idx="8">
                  <c:v>6.0331753477848894E-2</c:v>
                </c:pt>
                <c:pt idx="9">
                  <c:v>5.2521191917111298E-2</c:v>
                </c:pt>
                <c:pt idx="10">
                  <c:v>4.5533619351931287E-2</c:v>
                </c:pt>
                <c:pt idx="11">
                  <c:v>3.9312555471246839E-2</c:v>
                </c:pt>
                <c:pt idx="12">
                  <c:v>3.3800589581070475E-2</c:v>
                </c:pt>
                <c:pt idx="13">
                  <c:v>2.8940331764102645E-2</c:v>
                </c:pt>
                <c:pt idx="14">
                  <c:v>2.4675235314525413E-2</c:v>
                </c:pt>
                <c:pt idx="15">
                  <c:v>2.0950291470216528E-2</c:v>
                </c:pt>
                <c:pt idx="16">
                  <c:v>1.7712600046605149E-2</c:v>
                </c:pt>
                <c:pt idx="17">
                  <c:v>1.4911821749695936E-2</c:v>
                </c:pt>
                <c:pt idx="18">
                  <c:v>1.250051972906773E-2</c:v>
                </c:pt>
                <c:pt idx="19">
                  <c:v>1.0434399335451235E-2</c:v>
                </c:pt>
                <c:pt idx="20">
                  <c:v>8.6724560802487471E-3</c:v>
                </c:pt>
                <c:pt idx="21">
                  <c:v>7.1770424673877793E-3</c:v>
                </c:pt>
                <c:pt idx="22">
                  <c:v>5.9138646987567239E-3</c:v>
                </c:pt>
                <c:pt idx="23">
                  <c:v>4.8519202686036871E-3</c:v>
                </c:pt>
                <c:pt idx="24">
                  <c:v>3.9633871930995924E-3</c:v>
                </c:pt>
                <c:pt idx="25">
                  <c:v>3.2234751089878265E-3</c:v>
                </c:pt>
                <c:pt idx="26">
                  <c:v>2.6102477649091863E-3</c:v>
                </c:pt>
                <c:pt idx="27">
                  <c:v>2.1044255680979329E-3</c:v>
                </c:pt>
                <c:pt idx="28">
                  <c:v>1.6891758852019486E-3</c:v>
                </c:pt>
                <c:pt idx="29">
                  <c:v>1.3498977742874207E-3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448-4DCE-8118-64FE180A5AD6}"/>
            </c:ext>
          </c:extLst>
        </c:ser>
        <c:ser>
          <c:idx val="23"/>
          <c:order val="23"/>
          <c:tx>
            <c:strRef>
              <c:f>'4.BivariateC'!$G$43</c:f>
              <c:strCache>
                <c:ptCount val="1"/>
                <c:pt idx="0">
                  <c:v>0.59</c:v>
                </c:pt>
              </c:strCache>
            </c:strRef>
          </c:tx>
          <c:spPr>
            <a:solidFill>
              <a:srgbClr val="FFCC99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'4.BivariateC'!$H$43:$AK$43</c:f>
              <c:numCache>
                <c:formatCode>0.00</c:formatCode>
                <c:ptCount val="30"/>
                <c:pt idx="0">
                  <c:v>0.15815193835732161</c:v>
                </c:pt>
                <c:pt idx="1">
                  <c:v>0.14218853465511544</c:v>
                </c:pt>
                <c:pt idx="2">
                  <c:v>0.12732842902833574</c:v>
                </c:pt>
                <c:pt idx="3">
                  <c:v>0.11356676557297109</c:v>
                </c:pt>
                <c:pt idx="4">
                  <c:v>0.10088718108105021</c:v>
                </c:pt>
                <c:pt idx="5">
                  <c:v>8.9263279402574891E-2</c:v>
                </c:pt>
                <c:pt idx="6">
                  <c:v>7.8660122757075956E-2</c:v>
                </c:pt>
                <c:pt idx="7">
                  <c:v>6.9035704306826123E-2</c:v>
                </c:pt>
                <c:pt idx="8">
                  <c:v>6.0342372616777711E-2</c:v>
                </c:pt>
                <c:pt idx="9">
                  <c:v>5.2528184367273766E-2</c:v>
                </c:pt>
                <c:pt idx="10">
                  <c:v>4.5538166834865376E-2</c:v>
                </c:pt>
                <c:pt idx="11">
                  <c:v>3.9315476251198724E-2</c:v>
                </c:pt>
                <c:pt idx="12">
                  <c:v>3.3802442251114256E-2</c:v>
                </c:pt>
                <c:pt idx="13">
                  <c:v>2.8941492290749715E-2</c:v>
                </c:pt>
                <c:pt idx="14">
                  <c:v>2.4675953203201647E-2</c:v>
                </c:pt>
                <c:pt idx="15">
                  <c:v>2.0950729992797613E-2</c:v>
                </c:pt>
                <c:pt idx="16">
                  <c:v>1.7712864560403874E-2</c:v>
                </c:pt>
                <c:pt idx="17">
                  <c:v>1.4911979298648164E-2</c:v>
                </c:pt>
                <c:pt idx="18">
                  <c:v>1.2500612387178698E-2</c:v>
                </c:pt>
                <c:pt idx="19">
                  <c:v>1.0434453142923879E-2</c:v>
                </c:pt>
                <c:pt idx="20">
                  <c:v>8.6724869322968561E-3</c:v>
                </c:pt>
                <c:pt idx="21">
                  <c:v>7.1770599336180999E-3</c:v>
                </c:pt>
                <c:pt idx="22">
                  <c:v>5.9138744616856094E-3</c:v>
                </c:pt>
                <c:pt idx="23">
                  <c:v>4.8519256565001797E-3</c:v>
                </c:pt>
                <c:pt idx="24">
                  <c:v>3.9633901287839165E-3</c:v>
                </c:pt>
                <c:pt idx="25">
                  <c:v>3.2234766882115076E-3</c:v>
                </c:pt>
                <c:pt idx="26">
                  <c:v>2.6102486036266186E-3</c:v>
                </c:pt>
                <c:pt idx="27">
                  <c:v>2.1044260078615451E-3</c:v>
                </c:pt>
                <c:pt idx="28">
                  <c:v>1.6891761128420089E-3</c:v>
                </c:pt>
                <c:pt idx="29">
                  <c:v>1.3498978906191913E-3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448-4DCE-8118-64FE180A5AD6}"/>
            </c:ext>
          </c:extLst>
        </c:ser>
        <c:ser>
          <c:idx val="24"/>
          <c:order val="24"/>
          <c:tx>
            <c:strRef>
              <c:f>'4.BivariateC'!$G$44</c:f>
              <c:strCache>
                <c:ptCount val="1"/>
                <c:pt idx="0">
                  <c:v>0.66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'4.BivariateC'!$H$44:$AK$44</c:f>
              <c:numCache>
                <c:formatCode>0.00</c:formatCode>
                <c:ptCount val="30"/>
                <c:pt idx="0">
                  <c:v>0.15829562414100529</c:v>
                </c:pt>
                <c:pt idx="1">
                  <c:v>0.14229187155075276</c:v>
                </c:pt>
                <c:pt idx="2">
                  <c:v>0.12740185469515658</c:v>
                </c:pt>
                <c:pt idx="3">
                  <c:v>0.11361830811006347</c:v>
                </c:pt>
                <c:pt idx="4">
                  <c:v>0.10092292361743496</c:v>
                </c:pt>
                <c:pt idx="5">
                  <c:v>8.928776352364344E-2</c:v>
                </c:pt>
                <c:pt idx="6">
                  <c:v>7.867668970927974E-2</c:v>
                </c:pt>
                <c:pt idx="7">
                  <c:v>6.9046776672338384E-2</c:v>
                </c:pt>
                <c:pt idx="8">
                  <c:v>6.0349681649482102E-2</c:v>
                </c:pt>
                <c:pt idx="9">
                  <c:v>5.2532949601556841E-2</c:v>
                </c:pt>
                <c:pt idx="10">
                  <c:v>4.5541235134075687E-2</c:v>
                </c:pt>
                <c:pt idx="11">
                  <c:v>3.9317427377954642E-2</c:v>
                </c:pt>
                <c:pt idx="12">
                  <c:v>3.3803667526555663E-2</c:v>
                </c:pt>
                <c:pt idx="13">
                  <c:v>2.8942252143485146E-2</c:v>
                </c:pt>
                <c:pt idx="14">
                  <c:v>2.4676418532465345E-2</c:v>
                </c:pt>
                <c:pt idx="15">
                  <c:v>2.0951011386926427E-2</c:v>
                </c:pt>
                <c:pt idx="16">
                  <c:v>1.7713032588770258E-2</c:v>
                </c:pt>
                <c:pt idx="17">
                  <c:v>1.4912078371094165E-2</c:v>
                </c:pt>
                <c:pt idx="18">
                  <c:v>1.2500670065983745E-2</c:v>
                </c:pt>
                <c:pt idx="19">
                  <c:v>1.0434486299038627E-2</c:v>
                </c:pt>
                <c:pt idx="20">
                  <c:v>8.6725057508595174E-3</c:v>
                </c:pt>
                <c:pt idx="21">
                  <c:v>7.1770704793468042E-3</c:v>
                </c:pt>
                <c:pt idx="22">
                  <c:v>5.9138802964913322E-3</c:v>
                </c:pt>
                <c:pt idx="23">
                  <c:v>4.8519288438417336E-3</c:v>
                </c:pt>
                <c:pt idx="24">
                  <c:v>3.9633918477856994E-3</c:v>
                </c:pt>
                <c:pt idx="25">
                  <c:v>3.2234776035106232E-3</c:v>
                </c:pt>
                <c:pt idx="26">
                  <c:v>2.6102490847789103E-3</c:v>
                </c:pt>
                <c:pt idx="27">
                  <c:v>2.1044262575675549E-3</c:v>
                </c:pt>
                <c:pt idx="28">
                  <c:v>1.689176240779186E-3</c:v>
                </c:pt>
                <c:pt idx="29">
                  <c:v>1.349897955330555E-3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448-4DCE-8118-64FE180A5AD6}"/>
            </c:ext>
          </c:extLst>
        </c:ser>
        <c:ser>
          <c:idx val="25"/>
          <c:order val="25"/>
          <c:tx>
            <c:strRef>
              <c:f>'4.BivariateC'!$G$45</c:f>
              <c:strCache>
                <c:ptCount val="1"/>
                <c:pt idx="0">
                  <c:v>0.72</c:v>
                </c:pt>
              </c:strCache>
            </c:strRef>
          </c:tx>
          <c:spPr>
            <a:solidFill>
              <a:srgbClr val="33CC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'4.BivariateC'!$H$45:$AK$45</c:f>
              <c:numCache>
                <c:formatCode>0.00</c:formatCode>
                <c:ptCount val="30"/>
                <c:pt idx="0">
                  <c:v>0.15840124178380252</c:v>
                </c:pt>
                <c:pt idx="1">
                  <c:v>0.14236710007444126</c:v>
                </c:pt>
                <c:pt idx="2">
                  <c:v>0.12745479165171097</c:v>
                </c:pt>
                <c:pt idx="3">
                  <c:v>0.11365510759160473</c:v>
                </c:pt>
                <c:pt idx="4">
                  <c:v>0.10094819379599305</c:v>
                </c:pt>
                <c:pt idx="5">
                  <c:v>8.9304904592102635E-2</c:v>
                </c:pt>
                <c:pt idx="6">
                  <c:v>7.8688174178141015E-2</c:v>
                </c:pt>
                <c:pt idx="7">
                  <c:v>6.9054376594506625E-2</c:v>
                </c:pt>
                <c:pt idx="8">
                  <c:v>6.0354648893770589E-2</c:v>
                </c:pt>
                <c:pt idx="9">
                  <c:v>5.2536155974733947E-2</c:v>
                </c:pt>
                <c:pt idx="10">
                  <c:v>4.5543279176111617E-2</c:v>
                </c:pt>
                <c:pt idx="11">
                  <c:v>3.9318714230400627E-2</c:v>
                </c:pt>
                <c:pt idx="12">
                  <c:v>3.38044675775706E-2</c:v>
                </c:pt>
                <c:pt idx="13">
                  <c:v>2.8942743327504641E-2</c:v>
                </c:pt>
                <c:pt idx="14">
                  <c:v>2.4676716313309296E-2</c:v>
                </c:pt>
                <c:pt idx="15">
                  <c:v>2.0951189651197261E-2</c:v>
                </c:pt>
                <c:pt idx="16">
                  <c:v>1.7713137963520732E-2</c:v>
                </c:pt>
                <c:pt idx="17">
                  <c:v>1.4912139875153598E-2</c:v>
                </c:pt>
                <c:pt idx="18">
                  <c:v>1.2500705511131433E-2</c:v>
                </c:pt>
                <c:pt idx="19">
                  <c:v>1.0434506468156923E-2</c:v>
                </c:pt>
                <c:pt idx="20">
                  <c:v>8.6725170823216749E-3</c:v>
                </c:pt>
                <c:pt idx="21">
                  <c:v>7.1770767649383298E-3</c:v>
                </c:pt>
                <c:pt idx="22">
                  <c:v>5.9138837388821742E-3</c:v>
                </c:pt>
                <c:pt idx="23">
                  <c:v>4.8519307051618317E-3</c:v>
                </c:pt>
                <c:pt idx="24">
                  <c:v>3.9633928414100541E-3</c:v>
                </c:pt>
                <c:pt idx="25">
                  <c:v>3.2234781271802712E-3</c:v>
                </c:pt>
                <c:pt idx="26">
                  <c:v>2.6102493572501403E-3</c:v>
                </c:pt>
                <c:pt idx="27">
                  <c:v>2.104426397528327E-3</c:v>
                </c:pt>
                <c:pt idx="28">
                  <c:v>1.6891763117547849E-3</c:v>
                </c:pt>
                <c:pt idx="29">
                  <c:v>1.3498979908628903E-3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448-4DCE-8118-64FE180A5AD6}"/>
            </c:ext>
          </c:extLst>
        </c:ser>
        <c:ser>
          <c:idx val="26"/>
          <c:order val="26"/>
          <c:tx>
            <c:strRef>
              <c:f>'4.BivariateC'!$G$46</c:f>
              <c:strCache>
                <c:ptCount val="1"/>
                <c:pt idx="0">
                  <c:v>0.79</c:v>
                </c:pt>
              </c:strCache>
            </c:strRef>
          </c:tx>
          <c:spPr>
            <a:solidFill>
              <a:srgbClr val="99CC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'4.BivariateC'!$H$46:$AK$46</c:f>
              <c:numCache>
                <c:formatCode>0.00</c:formatCode>
                <c:ptCount val="30"/>
                <c:pt idx="0">
                  <c:v>0.15847791451378723</c:v>
                </c:pt>
                <c:pt idx="1">
                  <c:v>0.14242118483722385</c:v>
                </c:pt>
                <c:pt idx="2">
                  <c:v>0.12749248111176145</c:v>
                </c:pt>
                <c:pt idx="3">
                  <c:v>0.11368105256010216</c:v>
                </c:pt>
                <c:pt idx="4">
                  <c:v>0.10096583602362319</c:v>
                </c:pt>
                <c:pt idx="5">
                  <c:v>8.9316754117201885E-2</c:v>
                </c:pt>
                <c:pt idx="6">
                  <c:v>7.8696035167888118E-2</c:v>
                </c:pt>
                <c:pt idx="7">
                  <c:v>6.9059527279447447E-2</c:v>
                </c:pt>
                <c:pt idx="8">
                  <c:v>6.0357981991364107E-2</c:v>
                </c:pt>
                <c:pt idx="9">
                  <c:v>5.2538286129720072E-2</c:v>
                </c:pt>
                <c:pt idx="10">
                  <c:v>4.5544623612594738E-2</c:v>
                </c:pt>
                <c:pt idx="11">
                  <c:v>3.9319552187811996E-2</c:v>
                </c:pt>
                <c:pt idx="12">
                  <c:v>3.3804983332802088E-2</c:v>
                </c:pt>
                <c:pt idx="13">
                  <c:v>2.8943056795777685E-2</c:v>
                </c:pt>
                <c:pt idx="14">
                  <c:v>2.4676904444457134E-2</c:v>
                </c:pt>
                <c:pt idx="15">
                  <c:v>2.0951301140843849E-2</c:v>
                </c:pt>
                <c:pt idx="16">
                  <c:v>1.7713203202212809E-2</c:v>
                </c:pt>
                <c:pt idx="17">
                  <c:v>1.4912177568399337E-2</c:v>
                </c:pt>
                <c:pt idx="18">
                  <c:v>1.2500727014209784E-2</c:v>
                </c:pt>
                <c:pt idx="19">
                  <c:v>1.0434518579944914E-2</c:v>
                </c:pt>
                <c:pt idx="20">
                  <c:v>8.6725238179569657E-3</c:v>
                </c:pt>
                <c:pt idx="21">
                  <c:v>7.1770804632552638E-3</c:v>
                </c:pt>
                <c:pt idx="22">
                  <c:v>5.9138857437138585E-3</c:v>
                </c:pt>
                <c:pt idx="23">
                  <c:v>4.8519317781458978E-3</c:v>
                </c:pt>
                <c:pt idx="24">
                  <c:v>3.9633934083588909E-3</c:v>
                </c:pt>
                <c:pt idx="25">
                  <c:v>3.2234784229295561E-3</c:v>
                </c:pt>
                <c:pt idx="26">
                  <c:v>2.6102495095596681E-3</c:v>
                </c:pt>
                <c:pt idx="27">
                  <c:v>2.1044264749653331E-3</c:v>
                </c:pt>
                <c:pt idx="28">
                  <c:v>1.6891763506219613E-3</c:v>
                </c:pt>
                <c:pt idx="29">
                  <c:v>1.349898010121524E-3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448-4DCE-8118-64FE180A5AD6}"/>
            </c:ext>
          </c:extLst>
        </c:ser>
        <c:ser>
          <c:idx val="27"/>
          <c:order val="27"/>
          <c:tx>
            <c:strRef>
              <c:f>'4.BivariateC'!$G$47</c:f>
              <c:strCache>
                <c:ptCount val="1"/>
                <c:pt idx="0">
                  <c:v>0.86</c:v>
                </c:pt>
              </c:strCache>
            </c:strRef>
          </c:tx>
          <c:spPr>
            <a:solidFill>
              <a:srgbClr val="FFCC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'4.BivariateC'!$H$47:$AK$47</c:f>
              <c:numCache>
                <c:formatCode>0.00</c:formatCode>
                <c:ptCount val="30"/>
                <c:pt idx="0">
                  <c:v>0.15853288301047833</c:v>
                </c:pt>
                <c:pt idx="1">
                  <c:v>0.14245958386157687</c:v>
                </c:pt>
                <c:pt idx="2">
                  <c:v>0.12751897948377391</c:v>
                </c:pt>
                <c:pt idx="3">
                  <c:v>0.11369911553870346</c:v>
                </c:pt>
                <c:pt idx="4">
                  <c:v>0.10097799818183081</c:v>
                </c:pt>
                <c:pt idx="5">
                  <c:v>8.932484254837228E-2</c:v>
                </c:pt>
                <c:pt idx="6">
                  <c:v>7.8701348081840039E-2</c:v>
                </c:pt>
                <c:pt idx="7">
                  <c:v>6.906297394953595E-2</c:v>
                </c:pt>
                <c:pt idx="8">
                  <c:v>6.0360190248969728E-2</c:v>
                </c:pt>
                <c:pt idx="9">
                  <c:v>5.2539683361459109E-2</c:v>
                </c:pt>
                <c:pt idx="10">
                  <c:v>4.5545496669046656E-2</c:v>
                </c:pt>
                <c:pt idx="11">
                  <c:v>3.9320090902350245E-2</c:v>
                </c:pt>
                <c:pt idx="12">
                  <c:v>3.3805311583472879E-2</c:v>
                </c:pt>
                <c:pt idx="13">
                  <c:v>2.89432542979517E-2</c:v>
                </c:pt>
                <c:pt idx="14">
                  <c:v>2.4677021784677757E-2</c:v>
                </c:pt>
                <c:pt idx="15">
                  <c:v>2.0951369977651159E-2</c:v>
                </c:pt>
                <c:pt idx="16">
                  <c:v>1.7713243075674272E-2</c:v>
                </c:pt>
                <c:pt idx="17">
                  <c:v>1.4912200373273832E-2</c:v>
                </c:pt>
                <c:pt idx="18">
                  <c:v>1.2500739892066187E-2</c:v>
                </c:pt>
                <c:pt idx="19">
                  <c:v>1.0434525759932371E-2</c:v>
                </c:pt>
                <c:pt idx="20">
                  <c:v>8.6725277703534592E-3</c:v>
                </c:pt>
                <c:pt idx="21">
                  <c:v>7.1770826113178518E-3</c:v>
                </c:pt>
                <c:pt idx="22">
                  <c:v>5.9138868963075197E-3</c:v>
                </c:pt>
                <c:pt idx="23">
                  <c:v>4.8519323887250936E-3</c:v>
                </c:pt>
                <c:pt idx="24">
                  <c:v>3.9633937276877676E-3</c:v>
                </c:pt>
                <c:pt idx="25">
                  <c:v>3.2234785878061615E-3</c:v>
                </c:pt>
                <c:pt idx="26">
                  <c:v>2.6102495936021868E-3</c:v>
                </c:pt>
                <c:pt idx="27">
                  <c:v>2.1044265172568289E-3</c:v>
                </c:pt>
                <c:pt idx="28">
                  <c:v>1.689176371631477E-3</c:v>
                </c:pt>
                <c:pt idx="29">
                  <c:v>1.3498980204249898E-3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448-4DCE-8118-64FE180A5AD6}"/>
            </c:ext>
          </c:extLst>
        </c:ser>
        <c:ser>
          <c:idx val="28"/>
          <c:order val="28"/>
          <c:tx>
            <c:strRef>
              <c:f>'4.BivariateC'!$G$48</c:f>
              <c:strCache>
                <c:ptCount val="1"/>
                <c:pt idx="0">
                  <c:v>0.93</c:v>
                </c:pt>
              </c:strCache>
            </c:strRef>
          </c:tx>
          <c:spPr>
            <a:solidFill>
              <a:srgbClr val="FF99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'4.BivariateC'!$H$48:$AK$48</c:f>
              <c:numCache>
                <c:formatCode>0.00</c:formatCode>
                <c:ptCount val="30"/>
                <c:pt idx="0">
                  <c:v>0.15857180031030643</c:v>
                </c:pt>
                <c:pt idx="1">
                  <c:v>0.1424865058176816</c:v>
                </c:pt>
                <c:pt idx="2">
                  <c:v>0.12753737643608176</c:v>
                </c:pt>
                <c:pt idx="3">
                  <c:v>0.113711533210267</c:v>
                </c:pt>
                <c:pt idx="4">
                  <c:v>0.10098627704057839</c:v>
                </c:pt>
                <c:pt idx="5">
                  <c:v>8.9330294086266387E-2</c:v>
                </c:pt>
                <c:pt idx="6">
                  <c:v>7.8704893514498817E-2</c:v>
                </c:pt>
                <c:pt idx="7">
                  <c:v>6.9065251172368877E-2</c:v>
                </c:pt>
                <c:pt idx="8">
                  <c:v>6.036163473490163E-2</c:v>
                </c:pt>
                <c:pt idx="9">
                  <c:v>5.2540588216307318E-2</c:v>
                </c:pt>
                <c:pt idx="10">
                  <c:v>4.5546056413093568E-2</c:v>
                </c:pt>
                <c:pt idx="11">
                  <c:v>3.9320432828988387E-2</c:v>
                </c:pt>
                <c:pt idx="12">
                  <c:v>3.3805517835352357E-2</c:v>
                </c:pt>
                <c:pt idx="13">
                  <c:v>2.8943377147544525E-2</c:v>
                </c:pt>
                <c:pt idx="14">
                  <c:v>2.4677094036744632E-2</c:v>
                </c:pt>
                <c:pt idx="15">
                  <c:v>2.0951411935968983E-2</c:v>
                </c:pt>
                <c:pt idx="16">
                  <c:v>1.7713267134150956E-2</c:v>
                </c:pt>
                <c:pt idx="17">
                  <c:v>1.4912213993739872E-2</c:v>
                </c:pt>
                <c:pt idx="18">
                  <c:v>1.2500747505517553E-2</c:v>
                </c:pt>
                <c:pt idx="19">
                  <c:v>1.0434529961674256E-2</c:v>
                </c:pt>
                <c:pt idx="20">
                  <c:v>8.6725300597876292E-3</c:v>
                </c:pt>
                <c:pt idx="21">
                  <c:v>7.1770838429219917E-3</c:v>
                </c:pt>
                <c:pt idx="22">
                  <c:v>5.9138875504191214E-3</c:v>
                </c:pt>
                <c:pt idx="23">
                  <c:v>4.8519327317014388E-3</c:v>
                </c:pt>
                <c:pt idx="24">
                  <c:v>3.9633939052302414E-3</c:v>
                </c:pt>
                <c:pt idx="25">
                  <c:v>3.2234786785381889E-3</c:v>
                </c:pt>
                <c:pt idx="26">
                  <c:v>2.6102496393777767E-3</c:v>
                </c:pt>
                <c:pt idx="27">
                  <c:v>2.1044265400559062E-3</c:v>
                </c:pt>
                <c:pt idx="28">
                  <c:v>1.6891763828414822E-3</c:v>
                </c:pt>
                <c:pt idx="29">
                  <c:v>1.3498980258661937E-3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448-4DCE-8118-64FE180A5AD6}"/>
            </c:ext>
          </c:extLst>
        </c:ser>
        <c:ser>
          <c:idx val="29"/>
          <c:order val="29"/>
          <c:tx>
            <c:strRef>
              <c:f>'4.BivariateC'!$G$49</c:f>
              <c:strCache>
                <c:ptCount val="1"/>
                <c:pt idx="0">
                  <c:v>1.00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  <a:sp3d prstMaterial="flat"/>
          </c:spPr>
          <c:cat>
            <c:numRef>
              <c:f>'4.BivariateC'!$H$19:$AK$19</c:f>
              <c:numCache>
                <c:formatCode>0.0</c:formatCode>
                <c:ptCount val="30"/>
                <c:pt idx="0">
                  <c:v>-1</c:v>
                </c:pt>
                <c:pt idx="1">
                  <c:v>-1.0689655172413792</c:v>
                </c:pt>
                <c:pt idx="2">
                  <c:v>-1.1379310344827585</c:v>
                </c:pt>
                <c:pt idx="3">
                  <c:v>-1.2068965517241377</c:v>
                </c:pt>
                <c:pt idx="4">
                  <c:v>-1.2758620689655169</c:v>
                </c:pt>
                <c:pt idx="5">
                  <c:v>-1.3448275862068961</c:v>
                </c:pt>
                <c:pt idx="6">
                  <c:v>-1.4137931034482754</c:v>
                </c:pt>
                <c:pt idx="7">
                  <c:v>-1.4827586206896546</c:v>
                </c:pt>
                <c:pt idx="8">
                  <c:v>-1.5517241379310338</c:v>
                </c:pt>
                <c:pt idx="9">
                  <c:v>-1.620689655172413</c:v>
                </c:pt>
                <c:pt idx="10">
                  <c:v>-1.6896551724137923</c:v>
                </c:pt>
                <c:pt idx="11">
                  <c:v>-1.7586206896551715</c:v>
                </c:pt>
                <c:pt idx="12">
                  <c:v>-1.8275862068965507</c:v>
                </c:pt>
                <c:pt idx="13">
                  <c:v>-1.8965517241379299</c:v>
                </c:pt>
                <c:pt idx="14">
                  <c:v>-1.9655172413793092</c:v>
                </c:pt>
                <c:pt idx="15">
                  <c:v>-2.0344827586206886</c:v>
                </c:pt>
                <c:pt idx="16">
                  <c:v>-2.1034482758620681</c:v>
                </c:pt>
                <c:pt idx="17">
                  <c:v>-2.1724137931034475</c:v>
                </c:pt>
                <c:pt idx="18">
                  <c:v>-2.241379310344827</c:v>
                </c:pt>
                <c:pt idx="19">
                  <c:v>-2.3103448275862064</c:v>
                </c:pt>
                <c:pt idx="20">
                  <c:v>-2.3793103448275859</c:v>
                </c:pt>
                <c:pt idx="21">
                  <c:v>-2.4482758620689653</c:v>
                </c:pt>
                <c:pt idx="22">
                  <c:v>-2.5172413793103448</c:v>
                </c:pt>
                <c:pt idx="23">
                  <c:v>-2.5862068965517242</c:v>
                </c:pt>
                <c:pt idx="24">
                  <c:v>-2.6551724137931036</c:v>
                </c:pt>
                <c:pt idx="25">
                  <c:v>-2.7241379310344831</c:v>
                </c:pt>
                <c:pt idx="26">
                  <c:v>-2.7931034482758625</c:v>
                </c:pt>
                <c:pt idx="27">
                  <c:v>-2.862068965517242</c:v>
                </c:pt>
                <c:pt idx="28">
                  <c:v>-2.9310344827586214</c:v>
                </c:pt>
                <c:pt idx="29">
                  <c:v>-3.0000000000000009</c:v>
                </c:pt>
              </c:numCache>
            </c:numRef>
          </c:cat>
          <c:val>
            <c:numRef>
              <c:f>'4.BivariateC'!$H$49:$AK$49</c:f>
              <c:numCache>
                <c:formatCode>0.00</c:formatCode>
                <c:ptCount val="30"/>
                <c:pt idx="0">
                  <c:v>0.15859900949774519</c:v>
                </c:pt>
                <c:pt idx="1">
                  <c:v>0.14250514483978122</c:v>
                </c:pt>
                <c:pt idx="2">
                  <c:v>0.12754998860135069</c:v>
                </c:pt>
                <c:pt idx="3">
                  <c:v>0.11371996259551377</c:v>
                </c:pt>
                <c:pt idx="4">
                  <c:v>0.10099184151144851</c:v>
                </c:pt>
                <c:pt idx="5">
                  <c:v>8.9333921998125787E-2</c:v>
                </c:pt>
                <c:pt idx="6">
                  <c:v>7.8707229546028018E-2</c:v>
                </c:pt>
                <c:pt idx="7">
                  <c:v>6.9066736680445689E-2</c:v>
                </c:pt>
                <c:pt idx="8">
                  <c:v>6.0362567627871906E-2</c:v>
                </c:pt>
                <c:pt idx="9">
                  <c:v>5.2541166759912557E-2</c:v>
                </c:pt>
                <c:pt idx="10">
                  <c:v>4.5546410716739379E-2</c:v>
                </c:pt>
                <c:pt idx="11">
                  <c:v>3.9320647087898217E-2</c:v>
                </c:pt>
                <c:pt idx="12">
                  <c:v>3.3805645777925171E-2</c:v>
                </c:pt>
                <c:pt idx="13">
                  <c:v>2.8943452586208285E-2</c:v>
                </c:pt>
                <c:pt idx="14">
                  <c:v>2.4677137957114986E-2</c:v>
                </c:pt>
                <c:pt idx="15">
                  <c:v>2.0951437183680557E-2</c:v>
                </c:pt>
                <c:pt idx="16">
                  <c:v>1.7713281464391859E-2</c:v>
                </c:pt>
                <c:pt idx="17">
                  <c:v>1.4912222024419487E-2</c:v>
                </c:pt>
                <c:pt idx="18">
                  <c:v>1.2500751948870136E-2</c:v>
                </c:pt>
                <c:pt idx="19">
                  <c:v>1.0434532388964204E-2</c:v>
                </c:pt>
                <c:pt idx="20">
                  <c:v>8.6725313689034224E-3</c:v>
                </c:pt>
                <c:pt idx="21">
                  <c:v>7.177084539987293E-3</c:v>
                </c:pt>
                <c:pt idx="22">
                  <c:v>5.9138879168581081E-3</c:v>
                </c:pt>
                <c:pt idx="23">
                  <c:v>4.8519329218779193E-3</c:v>
                </c:pt>
                <c:pt idx="24">
                  <c:v>3.9633940026693425E-3</c:v>
                </c:pt>
                <c:pt idx="25">
                  <c:v>3.2234787278244371E-3</c:v>
                </c:pt>
                <c:pt idx="26">
                  <c:v>2.6102496639887735E-3</c:v>
                </c:pt>
                <c:pt idx="27">
                  <c:v>2.1044265521880847E-3</c:v>
                </c:pt>
                <c:pt idx="28">
                  <c:v>1.6891763887455309E-3</c:v>
                </c:pt>
                <c:pt idx="29">
                  <c:v>1.3498980287025336E-3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448-4DCE-8118-64FE180A5AD6}"/>
            </c:ext>
          </c:extLst>
        </c:ser>
        <c:bandFmts>
          <c:bandFmt>
            <c:idx val="0"/>
            <c:spPr>
              <a:solidFill>
                <a:srgbClr val="63AAFE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1"/>
            <c:spPr>
              <a:solidFill>
                <a:srgbClr val="DD2D32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2"/>
            <c:spPr>
              <a:solidFill>
                <a:srgbClr val="FFF58C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3"/>
            <c:spPr>
              <a:solidFill>
                <a:srgbClr val="4EE257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4"/>
            <c:spPr>
              <a:solidFill>
                <a:srgbClr val="6711FF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5"/>
            <c:spPr>
              <a:solidFill>
                <a:srgbClr val="FEA746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6"/>
            <c:spPr>
              <a:solidFill>
                <a:srgbClr val="865357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7"/>
            <c:spPr>
              <a:solidFill>
                <a:srgbClr val="A2BD90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8"/>
            <c:spPr>
              <a:solidFill>
                <a:srgbClr val="63AAFE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  <c:bandFmt>
            <c:idx val="9"/>
            <c:spPr>
              <a:solidFill>
                <a:srgbClr val="DD2D32"/>
              </a:soli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  <a:sp3d prstMaterial="flat"/>
            </c:spPr>
          </c:bandFmt>
        </c:bandFmts>
        <c:axId val="37527823"/>
        <c:axId val="1"/>
        <c:axId val="2"/>
      </c:surface3DChart>
      <c:catAx>
        <c:axId val="37527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2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33658710654612017"/>
              <c:y val="0.8916532289950626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algn="ctr" rtl="0">
                  <a:defRPr sz="112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US"/>
                  <a:t>Probability</a:t>
                </a:r>
              </a:p>
            </c:rich>
          </c:tx>
          <c:layout>
            <c:manualLayout>
              <c:xMode val="edge"/>
              <c:yMode val="edge"/>
              <c:x val="6.8095657393723738E-2"/>
              <c:y val="0.3300594825561833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37527823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2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0.91831857970964581"/>
              <c:y val="0.7216972267832965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1"/>
        <c:crosses val="autoZero"/>
        <c:tickLblSkip val="9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Lines="59" dropStyle="combo" dx="22" fmlaLink="$I$6" fmlaRange="$I$7:$I$8" sel="1" val="0"/>
</file>

<file path=xl/ctrlProps/ctrlProp2.xml><?xml version="1.0" encoding="utf-8"?>
<formControlPr xmlns="http://schemas.microsoft.com/office/spreadsheetml/2009/9/main" objectType="Drop" dropLines="47" dropStyle="combo" dx="22" fmlaLink="$I$5" fmlaRange="$I$6:$I$7" sel="1" val="0"/>
</file>

<file path=xl/ctrlProps/ctrlProp3.xml><?xml version="1.0" encoding="utf-8"?>
<formControlPr xmlns="http://schemas.microsoft.com/office/spreadsheetml/2009/9/main" objectType="Drop" dropLines="47" dropStyle="combo" dx="22" fmlaLink="$J$5" fmlaRange="$J$6:$J$7" sel="2" val="0"/>
</file>

<file path=xl/ctrlProps/ctrlProp4.xml><?xml version="1.0" encoding="utf-8"?>
<formControlPr xmlns="http://schemas.microsoft.com/office/spreadsheetml/2009/9/main" objectType="Drop" dropLines="59" dropStyle="combo" dx="22" fmlaLink="$G$5" fmlaRange="$G$6:$G$7" sel="2" val="0"/>
</file>

<file path=xl/ctrlProps/ctrlProp5.xml><?xml version="1.0" encoding="utf-8"?>
<formControlPr xmlns="http://schemas.microsoft.com/office/spreadsheetml/2009/9/main" objectType="Drop" dropLines="59" dropStyle="combo" dx="22" fmlaLink="$G$10" fmlaRange="$G$11:$G$12" sel="1" val="0"/>
</file>

<file path=xl/ctrlProps/ctrlProp6.xml><?xml version="1.0" encoding="utf-8"?>
<formControlPr xmlns="http://schemas.microsoft.com/office/spreadsheetml/2009/9/main" objectType="Drop" dropLines="59" dropStyle="combo" dx="22" fmlaLink="$H$10" fmlaRange="$H$11:$H$14" sel="4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95250</xdr:rowOff>
    </xdr:from>
    <xdr:to>
      <xdr:col>5</xdr:col>
      <xdr:colOff>714375</xdr:colOff>
      <xdr:row>28</xdr:row>
      <xdr:rowOff>9525</xdr:rowOff>
    </xdr:to>
    <xdr:graphicFrame macro="">
      <xdr:nvGraphicFramePr>
        <xdr:cNvPr id="307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7</xdr:row>
          <xdr:rowOff>47625</xdr:rowOff>
        </xdr:from>
        <xdr:to>
          <xdr:col>5</xdr:col>
          <xdr:colOff>314325</xdr:colOff>
          <xdr:row>8</xdr:row>
          <xdr:rowOff>123825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95250</xdr:rowOff>
    </xdr:from>
    <xdr:to>
      <xdr:col>5</xdr:col>
      <xdr:colOff>714375</xdr:colOff>
      <xdr:row>27</xdr:row>
      <xdr:rowOff>9525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6</xdr:row>
          <xdr:rowOff>47625</xdr:rowOff>
        </xdr:from>
        <xdr:to>
          <xdr:col>5</xdr:col>
          <xdr:colOff>314325</xdr:colOff>
          <xdr:row>7</xdr:row>
          <xdr:rowOff>123825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76200</xdr:rowOff>
        </xdr:from>
        <xdr:to>
          <xdr:col>5</xdr:col>
          <xdr:colOff>342900</xdr:colOff>
          <xdr:row>5</xdr:row>
          <xdr:rowOff>152400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12</xdr:row>
      <xdr:rowOff>9525</xdr:rowOff>
    </xdr:from>
    <xdr:to>
      <xdr:col>5</xdr:col>
      <xdr:colOff>609600</xdr:colOff>
      <xdr:row>35</xdr:row>
      <xdr:rowOff>152400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9</xdr:row>
          <xdr:rowOff>95250</xdr:rowOff>
        </xdr:from>
        <xdr:to>
          <xdr:col>1</xdr:col>
          <xdr:colOff>971550</xdr:colOff>
          <xdr:row>11</xdr:row>
          <xdr:rowOff>9525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17</xdr:row>
      <xdr:rowOff>9525</xdr:rowOff>
    </xdr:from>
    <xdr:to>
      <xdr:col>5</xdr:col>
      <xdr:colOff>609600</xdr:colOff>
      <xdr:row>40</xdr:row>
      <xdr:rowOff>152400</xdr:rowOff>
    </xdr:to>
    <xdr:graphicFrame macro="">
      <xdr:nvGraphicFramePr>
        <xdr:cNvPr id="102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14</xdr:row>
          <xdr:rowOff>95250</xdr:rowOff>
        </xdr:from>
        <xdr:to>
          <xdr:col>1</xdr:col>
          <xdr:colOff>971550</xdr:colOff>
          <xdr:row>16</xdr:row>
          <xdr:rowOff>9525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12</xdr:row>
          <xdr:rowOff>95250</xdr:rowOff>
        </xdr:from>
        <xdr:to>
          <xdr:col>1</xdr:col>
          <xdr:colOff>1743075</xdr:colOff>
          <xdr:row>14</xdr:row>
          <xdr:rowOff>9525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9"/>
  <sheetViews>
    <sheetView showGridLines="0" workbookViewId="0">
      <selection activeCell="I12" sqref="I12"/>
    </sheetView>
  </sheetViews>
  <sheetFormatPr defaultColWidth="9.25" defaultRowHeight="12"/>
  <cols>
    <col min="1" max="16384" width="9.25" style="28"/>
  </cols>
  <sheetData>
    <row r="1" spans="1:3" ht="30">
      <c r="A1" s="27" t="s">
        <v>41</v>
      </c>
    </row>
    <row r="2" spans="1:3">
      <c r="A2" s="72"/>
    </row>
    <row r="3" spans="1:3" ht="23.25">
      <c r="B3" s="29" t="s">
        <v>27</v>
      </c>
    </row>
    <row r="4" spans="1:3" ht="12.75">
      <c r="B4" s="30"/>
    </row>
    <row r="5" spans="1:3">
      <c r="B5" s="31" t="s">
        <v>28</v>
      </c>
    </row>
    <row r="6" spans="1:3">
      <c r="B6" s="32"/>
    </row>
    <row r="7" spans="1:3" ht="12.75">
      <c r="B7" s="33">
        <v>1</v>
      </c>
      <c r="C7" s="34" t="s">
        <v>8</v>
      </c>
    </row>
    <row r="8" spans="1:3" ht="12.75">
      <c r="B8" s="33">
        <v>2</v>
      </c>
      <c r="C8" s="34" t="s">
        <v>38</v>
      </c>
    </row>
    <row r="9" spans="1:3" ht="12.75">
      <c r="B9" s="33">
        <v>3</v>
      </c>
      <c r="C9" s="34" t="s">
        <v>9</v>
      </c>
    </row>
    <row r="10" spans="1:3" ht="12.75">
      <c r="B10" s="33">
        <v>4</v>
      </c>
      <c r="C10" s="34" t="s">
        <v>39</v>
      </c>
    </row>
    <row r="11" spans="1:3" ht="12.75">
      <c r="B11" s="33">
        <v>5</v>
      </c>
      <c r="C11" s="34" t="s">
        <v>2</v>
      </c>
    </row>
    <row r="12" spans="1:3" ht="12.75">
      <c r="B12"/>
      <c r="C12"/>
    </row>
    <row r="13" spans="1:3" ht="12.75">
      <c r="B13"/>
      <c r="C13"/>
    </row>
    <row r="14" spans="1:3" ht="12.75">
      <c r="B14"/>
      <c r="C14"/>
    </row>
    <row r="15" spans="1:3" ht="12.75">
      <c r="B15"/>
      <c r="C15"/>
    </row>
    <row r="16" spans="1:3" ht="12.75">
      <c r="B16"/>
      <c r="C16"/>
    </row>
    <row r="17" spans="2:3" ht="12.75">
      <c r="B17"/>
      <c r="C17"/>
    </row>
    <row r="18" spans="2:3" ht="12.75">
      <c r="B18"/>
      <c r="C18"/>
    </row>
    <row r="19" spans="2:3" ht="12.75">
      <c r="B19"/>
      <c r="C19"/>
    </row>
  </sheetData>
  <phoneticPr fontId="3"/>
  <pageMargins left="0.75" right="0.75" top="1" bottom="1" header="0.5" footer="0.5"/>
  <pageSetup paperSize="0"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B1:I35"/>
  <sheetViews>
    <sheetView showGridLines="0" zoomScaleNormal="100" workbookViewId="0">
      <selection activeCell="B3" sqref="B3"/>
    </sheetView>
  </sheetViews>
  <sheetFormatPr defaultRowHeight="12.75"/>
  <cols>
    <col min="1" max="1" width="3.125" customWidth="1"/>
    <col min="2" max="2" width="11" customWidth="1"/>
    <col min="3" max="3" width="16.375" customWidth="1"/>
    <col min="4" max="256" width="11" customWidth="1"/>
  </cols>
  <sheetData>
    <row r="1" spans="2:9" ht="15.75">
      <c r="B1" s="4" t="s">
        <v>3</v>
      </c>
    </row>
    <row r="4" spans="2:9">
      <c r="B4" s="18" t="s">
        <v>25</v>
      </c>
      <c r="C4" s="19">
        <v>0</v>
      </c>
    </row>
    <row r="5" spans="2:9">
      <c r="B5" s="10" t="s">
        <v>4</v>
      </c>
      <c r="C5" s="60">
        <f>ND(C4)</f>
        <v>0.39894228040143287</v>
      </c>
      <c r="I5" t="s">
        <v>1</v>
      </c>
    </row>
    <row r="6" spans="2:9">
      <c r="B6" s="5"/>
      <c r="G6" s="56">
        <f>-C9</f>
        <v>-4</v>
      </c>
      <c r="H6" s="57">
        <f>IF($I$6=1,ND(G6),"")</f>
        <v>1.3383022576488542E-4</v>
      </c>
      <c r="I6" s="61">
        <v>1</v>
      </c>
    </row>
    <row r="7" spans="2:9">
      <c r="B7" s="5"/>
      <c r="G7" s="38">
        <f t="shared" ref="G7:G35" si="0">G6+($C$9*2)/29</f>
        <v>-3.7241379310344827</v>
      </c>
      <c r="H7" s="58">
        <f t="shared" ref="H7:H35" si="1">IF($I$6=1,ND(G7),"")</f>
        <v>3.8837460865859139E-4</v>
      </c>
      <c r="I7" s="62" t="s">
        <v>20</v>
      </c>
    </row>
    <row r="8" spans="2:9">
      <c r="G8" s="38">
        <f t="shared" si="0"/>
        <v>-3.4482758620689653</v>
      </c>
      <c r="H8" s="58">
        <f t="shared" si="1"/>
        <v>1.0444741315014051E-3</v>
      </c>
      <c r="I8" s="63" t="s">
        <v>21</v>
      </c>
    </row>
    <row r="9" spans="2:9">
      <c r="B9" s="10" t="s">
        <v>35</v>
      </c>
      <c r="C9" s="11">
        <v>4</v>
      </c>
      <c r="G9" s="38">
        <f t="shared" si="0"/>
        <v>-3.172413793103448</v>
      </c>
      <c r="H9" s="58">
        <f t="shared" si="1"/>
        <v>2.6031235996958561E-3</v>
      </c>
    </row>
    <row r="10" spans="2:9">
      <c r="C10">
        <v>2</v>
      </c>
      <c r="G10" s="38">
        <f t="shared" si="0"/>
        <v>-2.8965517241379306</v>
      </c>
      <c r="H10" s="58">
        <f t="shared" si="1"/>
        <v>6.0123206199931972E-3</v>
      </c>
    </row>
    <row r="11" spans="2:9">
      <c r="G11" s="38">
        <f t="shared" si="0"/>
        <v>-2.6206896551724133</v>
      </c>
      <c r="H11" s="58">
        <f t="shared" si="1"/>
        <v>1.2868849342238827E-2</v>
      </c>
    </row>
    <row r="12" spans="2:9">
      <c r="G12" s="38">
        <f t="shared" si="0"/>
        <v>-2.3448275862068959</v>
      </c>
      <c r="H12" s="58">
        <f t="shared" si="1"/>
        <v>2.5526280805375372E-2</v>
      </c>
    </row>
    <row r="13" spans="2:9">
      <c r="G13" s="38">
        <f t="shared" si="0"/>
        <v>-2.0689655172413786</v>
      </c>
      <c r="H13" s="58">
        <f t="shared" si="1"/>
        <v>4.6922982622084615E-2</v>
      </c>
    </row>
    <row r="14" spans="2:9">
      <c r="G14" s="38">
        <f t="shared" si="0"/>
        <v>-1.7931034482758612</v>
      </c>
      <c r="H14" s="58">
        <f t="shared" si="1"/>
        <v>7.9934436720120711E-2</v>
      </c>
    </row>
    <row r="15" spans="2:9">
      <c r="G15" s="38">
        <f t="shared" si="0"/>
        <v>-1.5172413793103439</v>
      </c>
      <c r="H15" s="58">
        <f t="shared" si="1"/>
        <v>0.12619218772033683</v>
      </c>
    </row>
    <row r="16" spans="2:9">
      <c r="G16" s="38">
        <f t="shared" si="0"/>
        <v>-1.2413793103448265</v>
      </c>
      <c r="H16" s="58">
        <f t="shared" si="1"/>
        <v>0.18462106916324461</v>
      </c>
    </row>
    <row r="17" spans="7:8">
      <c r="G17" s="38">
        <f t="shared" si="0"/>
        <v>-0.96551724137930928</v>
      </c>
      <c r="H17" s="58">
        <f t="shared" si="1"/>
        <v>0.25031120759344866</v>
      </c>
    </row>
    <row r="18" spans="7:8">
      <c r="G18" s="38">
        <f t="shared" si="0"/>
        <v>-0.68965517241379204</v>
      </c>
      <c r="H18" s="58">
        <f t="shared" si="1"/>
        <v>0.31450646027954415</v>
      </c>
    </row>
    <row r="19" spans="7:8">
      <c r="G19" s="38">
        <f t="shared" si="0"/>
        <v>-0.4137931034482748</v>
      </c>
      <c r="H19" s="58">
        <f t="shared" si="1"/>
        <v>0.36620906257573199</v>
      </c>
    </row>
    <row r="20" spans="7:8">
      <c r="G20" s="38">
        <f t="shared" si="0"/>
        <v>-0.13793103448275756</v>
      </c>
      <c r="H20" s="58">
        <f t="shared" si="1"/>
        <v>0.39516534041185825</v>
      </c>
    </row>
    <row r="21" spans="7:8">
      <c r="G21" s="38">
        <f t="shared" si="0"/>
        <v>0.13793103448275967</v>
      </c>
      <c r="H21" s="58">
        <f t="shared" si="1"/>
        <v>0.39516534041185813</v>
      </c>
    </row>
    <row r="22" spans="7:8">
      <c r="G22" s="38">
        <f t="shared" si="0"/>
        <v>0.41379310344827691</v>
      </c>
      <c r="H22" s="58">
        <f t="shared" si="1"/>
        <v>0.36620906257573166</v>
      </c>
    </row>
    <row r="23" spans="7:8">
      <c r="G23" s="38">
        <f t="shared" si="0"/>
        <v>0.68965517241379415</v>
      </c>
      <c r="H23" s="58">
        <f t="shared" si="1"/>
        <v>0.31450646027954371</v>
      </c>
    </row>
    <row r="24" spans="7:8">
      <c r="G24" s="38">
        <f t="shared" si="0"/>
        <v>0.96551724137931139</v>
      </c>
      <c r="H24" s="58">
        <f t="shared" si="1"/>
        <v>0.25031120759344816</v>
      </c>
    </row>
    <row r="25" spans="7:8">
      <c r="G25" s="38">
        <f t="shared" si="0"/>
        <v>1.2413793103448287</v>
      </c>
      <c r="H25" s="58">
        <f t="shared" si="1"/>
        <v>0.18462106916324411</v>
      </c>
    </row>
    <row r="26" spans="7:8">
      <c r="G26" s="38">
        <f t="shared" si="0"/>
        <v>1.5172413793103461</v>
      </c>
      <c r="H26" s="58">
        <f t="shared" si="1"/>
        <v>0.12619218772033639</v>
      </c>
    </row>
    <row r="27" spans="7:8">
      <c r="G27" s="38">
        <f t="shared" si="0"/>
        <v>1.7931034482758634</v>
      </c>
      <c r="H27" s="58">
        <f t="shared" si="1"/>
        <v>7.9934436720120405E-2</v>
      </c>
    </row>
    <row r="28" spans="7:8">
      <c r="G28" s="38">
        <f t="shared" si="0"/>
        <v>2.0689655172413808</v>
      </c>
      <c r="H28" s="58">
        <f t="shared" si="1"/>
        <v>4.6922982622084407E-2</v>
      </c>
    </row>
    <row r="29" spans="7:8">
      <c r="G29" s="38">
        <f t="shared" si="0"/>
        <v>2.3448275862068981</v>
      </c>
      <c r="H29" s="58">
        <f t="shared" si="1"/>
        <v>2.5526280805375241E-2</v>
      </c>
    </row>
    <row r="30" spans="7:8">
      <c r="G30" s="38">
        <f t="shared" si="0"/>
        <v>2.6206896551724155</v>
      </c>
      <c r="H30" s="58">
        <f t="shared" si="1"/>
        <v>1.2868849342238748E-2</v>
      </c>
    </row>
    <row r="31" spans="7:8">
      <c r="G31" s="38">
        <f t="shared" si="0"/>
        <v>2.8965517241379328</v>
      </c>
      <c r="H31" s="58">
        <f t="shared" si="1"/>
        <v>6.0123206199931599E-3</v>
      </c>
    </row>
    <row r="32" spans="7:8">
      <c r="G32" s="38">
        <f t="shared" si="0"/>
        <v>3.1724137931034502</v>
      </c>
      <c r="H32" s="58">
        <f t="shared" si="1"/>
        <v>2.6031235996958374E-3</v>
      </c>
    </row>
    <row r="33" spans="7:8">
      <c r="G33" s="38">
        <f t="shared" si="0"/>
        <v>3.4482758620689675</v>
      </c>
      <c r="H33" s="58">
        <f t="shared" si="1"/>
        <v>1.0444741315013969E-3</v>
      </c>
    </row>
    <row r="34" spans="7:8">
      <c r="G34" s="38">
        <f t="shared" si="0"/>
        <v>3.7241379310344849</v>
      </c>
      <c r="H34" s="58">
        <f t="shared" si="1"/>
        <v>3.883746086585883E-4</v>
      </c>
    </row>
    <row r="35" spans="7:8">
      <c r="G35" s="41">
        <f t="shared" si="0"/>
        <v>4.0000000000000018</v>
      </c>
      <c r="H35" s="59">
        <f t="shared" si="1"/>
        <v>1.3383022576488447E-4</v>
      </c>
    </row>
  </sheetData>
  <phoneticPr fontId="3"/>
  <pageMargins left="0.75" right="0.75" top="1" bottom="1" header="0.5" footer="0.5"/>
  <pageSetup paperSize="0" orientation="portrait" horizontalDpi="4294967292" verticalDpi="4294967292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4</xdr:col>
                    <xdr:colOff>333375</xdr:colOff>
                    <xdr:row>7</xdr:row>
                    <xdr:rowOff>47625</xdr:rowOff>
                  </from>
                  <to>
                    <xdr:col>5</xdr:col>
                    <xdr:colOff>314325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1"/>
  <dimension ref="B1:J34"/>
  <sheetViews>
    <sheetView showGridLines="0" zoomScale="125" zoomScaleNormal="100" workbookViewId="0">
      <selection activeCell="C9" sqref="C9"/>
    </sheetView>
  </sheetViews>
  <sheetFormatPr defaultRowHeight="12.75"/>
  <cols>
    <col min="1" max="1" width="3.125" customWidth="1"/>
    <col min="2" max="2" width="11" customWidth="1"/>
    <col min="3" max="3" width="16.375" customWidth="1"/>
    <col min="4" max="256" width="11" customWidth="1"/>
  </cols>
  <sheetData>
    <row r="1" spans="2:10" ht="15.75">
      <c r="B1" s="4" t="s">
        <v>29</v>
      </c>
    </row>
    <row r="3" spans="2:10">
      <c r="B3" s="18" t="s">
        <v>25</v>
      </c>
      <c r="C3" s="64">
        <v>0</v>
      </c>
    </row>
    <row r="4" spans="2:10">
      <c r="B4" s="5" t="s">
        <v>6</v>
      </c>
      <c r="C4" s="65">
        <f>_CND2(C3)</f>
        <v>0.5</v>
      </c>
      <c r="I4" t="s">
        <v>1</v>
      </c>
    </row>
    <row r="5" spans="2:10">
      <c r="B5" s="5" t="s">
        <v>24</v>
      </c>
      <c r="C5" s="66">
        <f>CND(C3)</f>
        <v>0.5</v>
      </c>
      <c r="G5" s="56">
        <f>-C8</f>
        <v>-10</v>
      </c>
      <c r="H5" s="67">
        <f>IF($I$5=1,IF($J$5=1,CND(G5),_CND2(G5)),"")</f>
        <v>0</v>
      </c>
      <c r="I5" s="61">
        <v>1</v>
      </c>
      <c r="J5" s="61">
        <v>2</v>
      </c>
    </row>
    <row r="6" spans="2:10">
      <c r="B6" s="71" t="s">
        <v>40</v>
      </c>
      <c r="C6" s="70">
        <f>NORMSDIST(C3)</f>
        <v>0.5</v>
      </c>
      <c r="G6" s="38">
        <f t="shared" ref="G6:G34" si="0">G5+($C$8*2)/29</f>
        <v>-9.3103448275862064</v>
      </c>
      <c r="H6" s="68">
        <f t="shared" ref="H6:H34" si="1">IF($I$5=1,IF($J$5=1,CND(G6),_CND2(G6)),"")</f>
        <v>0</v>
      </c>
      <c r="I6" s="62" t="s">
        <v>20</v>
      </c>
      <c r="J6" s="62" t="s">
        <v>5</v>
      </c>
    </row>
    <row r="7" spans="2:10">
      <c r="B7" s="5" t="s">
        <v>10</v>
      </c>
      <c r="C7" s="66">
        <f>CNDEV(C4)</f>
        <v>0</v>
      </c>
      <c r="G7" s="38">
        <f t="shared" si="0"/>
        <v>-8.6206896551724128</v>
      </c>
      <c r="H7" s="68">
        <f t="shared" si="1"/>
        <v>0</v>
      </c>
      <c r="I7" s="63" t="s">
        <v>21</v>
      </c>
      <c r="J7" s="63" t="s">
        <v>7</v>
      </c>
    </row>
    <row r="8" spans="2:10">
      <c r="B8" s="10" t="s">
        <v>35</v>
      </c>
      <c r="C8" s="11">
        <v>10</v>
      </c>
      <c r="G8" s="38">
        <f t="shared" si="0"/>
        <v>-7.9310344827586192</v>
      </c>
      <c r="H8" s="68">
        <f t="shared" si="1"/>
        <v>1.1102230246251565E-15</v>
      </c>
    </row>
    <row r="9" spans="2:10">
      <c r="G9" s="38">
        <f t="shared" si="0"/>
        <v>-7.2413793103448256</v>
      </c>
      <c r="H9" s="68">
        <f t="shared" si="1"/>
        <v>2.2370993946196904E-13</v>
      </c>
    </row>
    <row r="10" spans="2:10">
      <c r="G10" s="38">
        <f t="shared" si="0"/>
        <v>-6.551724137931032</v>
      </c>
      <c r="H10" s="68">
        <f t="shared" si="1"/>
        <v>2.8582691768974655E-11</v>
      </c>
    </row>
    <row r="11" spans="2:10">
      <c r="G11" s="38">
        <f t="shared" si="0"/>
        <v>-5.8620689655172384</v>
      </c>
      <c r="H11" s="68">
        <f t="shared" si="1"/>
        <v>2.2931067045206532E-9</v>
      </c>
    </row>
    <row r="12" spans="2:10">
      <c r="G12" s="38">
        <f t="shared" si="0"/>
        <v>-5.1724137931034448</v>
      </c>
      <c r="H12" s="68">
        <f t="shared" si="1"/>
        <v>1.157595881373652E-7</v>
      </c>
    </row>
    <row r="13" spans="2:10">
      <c r="G13" s="38">
        <f t="shared" si="0"/>
        <v>-4.4827586206896513</v>
      </c>
      <c r="H13" s="68">
        <f t="shared" si="1"/>
        <v>3.687537027730059E-6</v>
      </c>
    </row>
    <row r="14" spans="2:10">
      <c r="G14" s="38">
        <f t="shared" si="0"/>
        <v>-3.7931034482758581</v>
      </c>
      <c r="H14" s="68">
        <f t="shared" si="1"/>
        <v>7.4412850031291278E-5</v>
      </c>
    </row>
    <row r="15" spans="2:10">
      <c r="G15" s="38">
        <f t="shared" si="0"/>
        <v>-3.103448275862065</v>
      </c>
      <c r="H15" s="68">
        <f t="shared" si="1"/>
        <v>9.5646626517897904E-4</v>
      </c>
    </row>
    <row r="16" spans="2:10">
      <c r="G16" s="38">
        <f t="shared" si="0"/>
        <v>-2.4137931034482718</v>
      </c>
      <c r="H16" s="68">
        <f t="shared" si="1"/>
        <v>7.8937081044455626E-3</v>
      </c>
    </row>
    <row r="17" spans="7:8">
      <c r="G17" s="38">
        <f t="shared" si="0"/>
        <v>-1.7241379310344787</v>
      </c>
      <c r="H17" s="68">
        <f t="shared" si="1"/>
        <v>4.2341435784757464E-2</v>
      </c>
    </row>
    <row r="18" spans="7:8">
      <c r="G18" s="38">
        <f t="shared" si="0"/>
        <v>-1.0344827586206855</v>
      </c>
      <c r="H18" s="68">
        <f t="shared" si="1"/>
        <v>0.15045528518699913</v>
      </c>
    </row>
    <row r="19" spans="7:8">
      <c r="G19" s="38">
        <f t="shared" si="0"/>
        <v>-0.34482758620689236</v>
      </c>
      <c r="H19" s="68">
        <f t="shared" si="1"/>
        <v>0.36511205815664705</v>
      </c>
    </row>
    <row r="20" spans="7:8">
      <c r="G20" s="38">
        <f t="shared" si="0"/>
        <v>0.34482758620690079</v>
      </c>
      <c r="H20" s="68">
        <f t="shared" si="1"/>
        <v>0.63488794184335606</v>
      </c>
    </row>
    <row r="21" spans="7:8">
      <c r="G21" s="38">
        <f t="shared" si="0"/>
        <v>1.0344827586206939</v>
      </c>
      <c r="H21" s="68">
        <f t="shared" si="1"/>
        <v>0.84954471481300287</v>
      </c>
    </row>
    <row r="22" spans="7:8">
      <c r="G22" s="38">
        <f t="shared" si="0"/>
        <v>1.7241379310344871</v>
      </c>
      <c r="H22" s="68">
        <f t="shared" si="1"/>
        <v>0.95765856421524331</v>
      </c>
    </row>
    <row r="23" spans="7:8">
      <c r="G23" s="38">
        <f t="shared" si="0"/>
        <v>2.4137931034482802</v>
      </c>
      <c r="H23" s="68">
        <f t="shared" si="1"/>
        <v>0.99210629189555466</v>
      </c>
    </row>
    <row r="24" spans="7:8">
      <c r="G24" s="38">
        <f t="shared" si="0"/>
        <v>3.1034482758620734</v>
      </c>
      <c r="H24" s="68">
        <f t="shared" si="1"/>
        <v>0.99904353373482102</v>
      </c>
    </row>
    <row r="25" spans="7:8">
      <c r="G25" s="38">
        <f t="shared" si="0"/>
        <v>3.7931034482758665</v>
      </c>
      <c r="H25" s="68">
        <f t="shared" si="1"/>
        <v>0.99992558714996871</v>
      </c>
    </row>
    <row r="26" spans="7:8">
      <c r="G26" s="38">
        <f t="shared" si="0"/>
        <v>4.4827586206896601</v>
      </c>
      <c r="H26" s="68">
        <f t="shared" si="1"/>
        <v>0.99999631246297227</v>
      </c>
    </row>
    <row r="27" spans="7:8">
      <c r="G27" s="38">
        <f t="shared" si="0"/>
        <v>5.1724137931034537</v>
      </c>
      <c r="H27" s="68">
        <f t="shared" si="1"/>
        <v>0.99999988424041186</v>
      </c>
    </row>
    <row r="28" spans="7:8">
      <c r="G28" s="38">
        <f t="shared" si="0"/>
        <v>5.8620689655172473</v>
      </c>
      <c r="H28" s="68">
        <f t="shared" si="1"/>
        <v>0.9999999977068933</v>
      </c>
    </row>
    <row r="29" spans="7:8">
      <c r="G29" s="38">
        <f t="shared" si="0"/>
        <v>6.5517241379310409</v>
      </c>
      <c r="H29" s="68">
        <f t="shared" si="1"/>
        <v>0.99999999997141731</v>
      </c>
    </row>
    <row r="30" spans="7:8">
      <c r="G30" s="38">
        <f t="shared" si="0"/>
        <v>7.2413793103448345</v>
      </c>
      <c r="H30" s="68">
        <f t="shared" si="1"/>
        <v>0.99999999999977629</v>
      </c>
    </row>
    <row r="31" spans="7:8">
      <c r="G31" s="38">
        <f t="shared" si="0"/>
        <v>7.9310344827586281</v>
      </c>
      <c r="H31" s="68">
        <f t="shared" si="1"/>
        <v>0.99999999999999889</v>
      </c>
    </row>
    <row r="32" spans="7:8">
      <c r="G32" s="38">
        <f t="shared" si="0"/>
        <v>8.6206896551724217</v>
      </c>
      <c r="H32" s="68">
        <f t="shared" si="1"/>
        <v>1</v>
      </c>
    </row>
    <row r="33" spans="7:8">
      <c r="G33" s="38">
        <f t="shared" si="0"/>
        <v>9.3103448275862153</v>
      </c>
      <c r="H33" s="68">
        <f t="shared" si="1"/>
        <v>1</v>
      </c>
    </row>
    <row r="34" spans="7:8">
      <c r="G34" s="41">
        <f t="shared" si="0"/>
        <v>10.000000000000009</v>
      </c>
      <c r="H34" s="69">
        <f t="shared" si="1"/>
        <v>1</v>
      </c>
    </row>
  </sheetData>
  <phoneticPr fontId="3"/>
  <pageMargins left="0.75" right="0.75" top="1" bottom="1" header="0.5" footer="0.5"/>
  <pageSetup paperSize="0" orientation="portrait" horizontalDpi="4294967292" verticalDpi="4294967292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Drop Down 2">
              <controlPr defaultSize="0" autoLine="0" autoPict="0">
                <anchor moveWithCells="1">
                  <from>
                    <xdr:col>4</xdr:col>
                    <xdr:colOff>333375</xdr:colOff>
                    <xdr:row>6</xdr:row>
                    <xdr:rowOff>47625</xdr:rowOff>
                  </from>
                  <to>
                    <xdr:col>5</xdr:col>
                    <xdr:colOff>314325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Drop Down 3">
              <controlPr defaultSize="0" autoLine="0" autoPict="0">
                <anchor moveWithCells="1">
                  <from>
                    <xdr:col>4</xdr:col>
                    <xdr:colOff>66675</xdr:colOff>
                    <xdr:row>4</xdr:row>
                    <xdr:rowOff>76200</xdr:rowOff>
                  </from>
                  <to>
                    <xdr:col>5</xdr:col>
                    <xdr:colOff>342900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AK43"/>
  <sheetViews>
    <sheetView showGridLines="0" zoomScaleNormal="100" workbookViewId="0">
      <selection activeCell="B3" sqref="B3"/>
    </sheetView>
  </sheetViews>
  <sheetFormatPr defaultRowHeight="12.75"/>
  <cols>
    <col min="1" max="1" width="4.125" customWidth="1"/>
    <col min="2" max="2" width="23.625" customWidth="1"/>
    <col min="3" max="3" width="11" customWidth="1"/>
    <col min="4" max="33" width="10.875" bestFit="1" customWidth="1"/>
    <col min="34" max="256" width="11" customWidth="1"/>
  </cols>
  <sheetData>
    <row r="1" spans="2:37" ht="15.75">
      <c r="B1" s="4" t="s">
        <v>36</v>
      </c>
    </row>
    <row r="4" spans="2:37">
      <c r="B4" s="12" t="s">
        <v>11</v>
      </c>
      <c r="C4" s="13" t="s">
        <v>12</v>
      </c>
      <c r="D4" s="14" t="s">
        <v>14</v>
      </c>
      <c r="G4" t="s">
        <v>1</v>
      </c>
    </row>
    <row r="5" spans="2:37">
      <c r="B5" s="20">
        <v>0.5</v>
      </c>
      <c r="C5" s="21">
        <v>0.5</v>
      </c>
      <c r="D5" s="22">
        <v>-0.8</v>
      </c>
      <c r="E5" s="3"/>
      <c r="G5" s="6">
        <v>2</v>
      </c>
    </row>
    <row r="6" spans="2:37">
      <c r="B6" s="5" t="s">
        <v>0</v>
      </c>
      <c r="C6" s="55">
        <f>CBND3($B$5,$C$5,$D$5)</f>
        <v>0.38929414435380322</v>
      </c>
      <c r="G6" s="7" t="s">
        <v>20</v>
      </c>
    </row>
    <row r="7" spans="2:37">
      <c r="G7" s="8" t="s">
        <v>21</v>
      </c>
    </row>
    <row r="11" spans="2:37">
      <c r="B11" s="10" t="s">
        <v>35</v>
      </c>
      <c r="C11" s="11">
        <v>3</v>
      </c>
    </row>
    <row r="13" spans="2:37">
      <c r="G13" s="35"/>
      <c r="H13" s="36">
        <f>-C11</f>
        <v>-3</v>
      </c>
      <c r="I13" s="36">
        <f t="shared" ref="I13:AK13" si="0">H13+($C$11*2)/29</f>
        <v>-2.7931034482758621</v>
      </c>
      <c r="J13" s="36">
        <f t="shared" si="0"/>
        <v>-2.5862068965517242</v>
      </c>
      <c r="K13" s="36">
        <f t="shared" si="0"/>
        <v>-2.3793103448275863</v>
      </c>
      <c r="L13" s="36">
        <f t="shared" si="0"/>
        <v>-2.1724137931034484</v>
      </c>
      <c r="M13" s="36">
        <f t="shared" si="0"/>
        <v>-1.9655172413793105</v>
      </c>
      <c r="N13" s="36">
        <f t="shared" si="0"/>
        <v>-1.7586206896551726</v>
      </c>
      <c r="O13" s="36">
        <f t="shared" si="0"/>
        <v>-1.5517241379310347</v>
      </c>
      <c r="P13" s="36">
        <f t="shared" si="0"/>
        <v>-1.3448275862068968</v>
      </c>
      <c r="Q13" s="36">
        <f t="shared" si="0"/>
        <v>-1.1379310344827589</v>
      </c>
      <c r="R13" s="36">
        <f t="shared" si="0"/>
        <v>-0.931034482758621</v>
      </c>
      <c r="S13" s="36">
        <f t="shared" si="0"/>
        <v>-0.7241379310344831</v>
      </c>
      <c r="T13" s="36">
        <f t="shared" si="0"/>
        <v>-0.5172413793103452</v>
      </c>
      <c r="U13" s="36">
        <f t="shared" si="0"/>
        <v>-0.31034482758620729</v>
      </c>
      <c r="V13" s="36">
        <f t="shared" si="0"/>
        <v>-0.10344827586206937</v>
      </c>
      <c r="W13" s="36">
        <f t="shared" si="0"/>
        <v>0.10344827586206856</v>
      </c>
      <c r="X13" s="36">
        <f t="shared" si="0"/>
        <v>0.31034482758620652</v>
      </c>
      <c r="Y13" s="36">
        <f t="shared" si="0"/>
        <v>0.51724137931034442</v>
      </c>
      <c r="Z13" s="36">
        <f t="shared" si="0"/>
        <v>0.72413793103448232</v>
      </c>
      <c r="AA13" s="36">
        <f t="shared" si="0"/>
        <v>0.93103448275862022</v>
      </c>
      <c r="AB13" s="36">
        <f t="shared" si="0"/>
        <v>1.1379310344827582</v>
      </c>
      <c r="AC13" s="36">
        <f t="shared" si="0"/>
        <v>1.3448275862068961</v>
      </c>
      <c r="AD13" s="36">
        <f t="shared" si="0"/>
        <v>1.551724137931034</v>
      </c>
      <c r="AE13" s="36">
        <f t="shared" si="0"/>
        <v>1.7586206896551719</v>
      </c>
      <c r="AF13" s="36">
        <f t="shared" si="0"/>
        <v>1.9655172413793098</v>
      </c>
      <c r="AG13" s="36">
        <f t="shared" si="0"/>
        <v>2.172413793103448</v>
      </c>
      <c r="AH13" s="36">
        <f t="shared" si="0"/>
        <v>2.3793103448275859</v>
      </c>
      <c r="AI13" s="36">
        <f t="shared" si="0"/>
        <v>2.5862068965517238</v>
      </c>
      <c r="AJ13" s="36">
        <f t="shared" si="0"/>
        <v>2.7931034482758617</v>
      </c>
      <c r="AK13" s="36">
        <f t="shared" si="0"/>
        <v>2.9999999999999996</v>
      </c>
    </row>
    <row r="14" spans="2:37">
      <c r="G14" s="38">
        <f>-C11</f>
        <v>-3</v>
      </c>
      <c r="H14" s="44" t="str">
        <f t="shared" ref="H14:Q23" si="1">IF($G$5=1,BND($G14,H$13,$D$5),"")</f>
        <v/>
      </c>
      <c r="I14" s="45" t="str">
        <f t="shared" si="1"/>
        <v/>
      </c>
      <c r="J14" s="45" t="str">
        <f t="shared" si="1"/>
        <v/>
      </c>
      <c r="K14" s="45" t="str">
        <f t="shared" si="1"/>
        <v/>
      </c>
      <c r="L14" s="45" t="str">
        <f t="shared" si="1"/>
        <v/>
      </c>
      <c r="M14" s="45" t="str">
        <f t="shared" si="1"/>
        <v/>
      </c>
      <c r="N14" s="45" t="str">
        <f t="shared" si="1"/>
        <v/>
      </c>
      <c r="O14" s="45" t="str">
        <f t="shared" si="1"/>
        <v/>
      </c>
      <c r="P14" s="45" t="str">
        <f t="shared" si="1"/>
        <v/>
      </c>
      <c r="Q14" s="45" t="str">
        <f t="shared" si="1"/>
        <v/>
      </c>
      <c r="R14" s="45" t="str">
        <f t="shared" ref="R14:AA23" si="2">IF($G$5=1,BND($G14,R$13,$D$5),"")</f>
        <v/>
      </c>
      <c r="S14" s="45" t="str">
        <f t="shared" si="2"/>
        <v/>
      </c>
      <c r="T14" s="45" t="str">
        <f t="shared" si="2"/>
        <v/>
      </c>
      <c r="U14" s="45" t="str">
        <f t="shared" si="2"/>
        <v/>
      </c>
      <c r="V14" s="45" t="str">
        <f t="shared" si="2"/>
        <v/>
      </c>
      <c r="W14" s="45" t="str">
        <f t="shared" si="2"/>
        <v/>
      </c>
      <c r="X14" s="45" t="str">
        <f t="shared" si="2"/>
        <v/>
      </c>
      <c r="Y14" s="45" t="str">
        <f t="shared" si="2"/>
        <v/>
      </c>
      <c r="Z14" s="45" t="str">
        <f t="shared" si="2"/>
        <v/>
      </c>
      <c r="AA14" s="45" t="str">
        <f t="shared" si="2"/>
        <v/>
      </c>
      <c r="AB14" s="45" t="str">
        <f t="shared" ref="AB14:AK23" si="3">IF($G$5=1,BND($G14,AB$13,$D$5),"")</f>
        <v/>
      </c>
      <c r="AC14" s="45" t="str">
        <f t="shared" si="3"/>
        <v/>
      </c>
      <c r="AD14" s="45" t="str">
        <f t="shared" si="3"/>
        <v/>
      </c>
      <c r="AE14" s="45" t="str">
        <f t="shared" si="3"/>
        <v/>
      </c>
      <c r="AF14" s="45" t="str">
        <f t="shared" si="3"/>
        <v/>
      </c>
      <c r="AG14" s="45" t="str">
        <f t="shared" si="3"/>
        <v/>
      </c>
      <c r="AH14" s="45" t="str">
        <f t="shared" si="3"/>
        <v/>
      </c>
      <c r="AI14" s="45" t="str">
        <f t="shared" si="3"/>
        <v/>
      </c>
      <c r="AJ14" s="45" t="str">
        <f t="shared" si="3"/>
        <v/>
      </c>
      <c r="AK14" s="46" t="str">
        <f t="shared" si="3"/>
        <v/>
      </c>
    </row>
    <row r="15" spans="2:37">
      <c r="G15" s="38">
        <f t="shared" ref="G15:G43" si="4">G14+($C$11*2)/29</f>
        <v>-2.7931034482758621</v>
      </c>
      <c r="H15" s="47" t="str">
        <f t="shared" si="1"/>
        <v/>
      </c>
      <c r="I15" s="39" t="str">
        <f t="shared" si="1"/>
        <v/>
      </c>
      <c r="J15" s="39" t="str">
        <f t="shared" si="1"/>
        <v/>
      </c>
      <c r="K15" s="39" t="str">
        <f t="shared" si="1"/>
        <v/>
      </c>
      <c r="L15" s="39" t="str">
        <f t="shared" si="1"/>
        <v/>
      </c>
      <c r="M15" s="39" t="str">
        <f t="shared" si="1"/>
        <v/>
      </c>
      <c r="N15" s="39" t="str">
        <f t="shared" si="1"/>
        <v/>
      </c>
      <c r="O15" s="39" t="str">
        <f t="shared" si="1"/>
        <v/>
      </c>
      <c r="P15" s="39" t="str">
        <f t="shared" si="1"/>
        <v/>
      </c>
      <c r="Q15" s="39" t="str">
        <f t="shared" si="1"/>
        <v/>
      </c>
      <c r="R15" s="39" t="str">
        <f t="shared" si="2"/>
        <v/>
      </c>
      <c r="S15" s="39" t="str">
        <f t="shared" si="2"/>
        <v/>
      </c>
      <c r="T15" s="39" t="str">
        <f t="shared" si="2"/>
        <v/>
      </c>
      <c r="U15" s="39" t="str">
        <f t="shared" si="2"/>
        <v/>
      </c>
      <c r="V15" s="39" t="str">
        <f t="shared" si="2"/>
        <v/>
      </c>
      <c r="W15" s="39" t="str">
        <f t="shared" si="2"/>
        <v/>
      </c>
      <c r="X15" s="39" t="str">
        <f t="shared" si="2"/>
        <v/>
      </c>
      <c r="Y15" s="39" t="str">
        <f t="shared" si="2"/>
        <v/>
      </c>
      <c r="Z15" s="39" t="str">
        <f t="shared" si="2"/>
        <v/>
      </c>
      <c r="AA15" s="39" t="str">
        <f t="shared" si="2"/>
        <v/>
      </c>
      <c r="AB15" s="39" t="str">
        <f t="shared" si="3"/>
        <v/>
      </c>
      <c r="AC15" s="39" t="str">
        <f t="shared" si="3"/>
        <v/>
      </c>
      <c r="AD15" s="39" t="str">
        <f t="shared" si="3"/>
        <v/>
      </c>
      <c r="AE15" s="39" t="str">
        <f t="shared" si="3"/>
        <v/>
      </c>
      <c r="AF15" s="39" t="str">
        <f t="shared" si="3"/>
        <v/>
      </c>
      <c r="AG15" s="39" t="str">
        <f t="shared" si="3"/>
        <v/>
      </c>
      <c r="AH15" s="39" t="str">
        <f t="shared" si="3"/>
        <v/>
      </c>
      <c r="AI15" s="39" t="str">
        <f t="shared" si="3"/>
        <v/>
      </c>
      <c r="AJ15" s="39" t="str">
        <f t="shared" si="3"/>
        <v/>
      </c>
      <c r="AK15" s="40" t="str">
        <f t="shared" si="3"/>
        <v/>
      </c>
    </row>
    <row r="16" spans="2:37">
      <c r="G16" s="38">
        <f t="shared" si="4"/>
        <v>-2.5862068965517242</v>
      </c>
      <c r="H16" s="47" t="str">
        <f t="shared" si="1"/>
        <v/>
      </c>
      <c r="I16" s="39" t="str">
        <f t="shared" si="1"/>
        <v/>
      </c>
      <c r="J16" s="39" t="str">
        <f t="shared" si="1"/>
        <v/>
      </c>
      <c r="K16" s="39" t="str">
        <f t="shared" si="1"/>
        <v/>
      </c>
      <c r="L16" s="39" t="str">
        <f t="shared" si="1"/>
        <v/>
      </c>
      <c r="M16" s="39" t="str">
        <f t="shared" si="1"/>
        <v/>
      </c>
      <c r="N16" s="39" t="str">
        <f t="shared" si="1"/>
        <v/>
      </c>
      <c r="O16" s="39" t="str">
        <f t="shared" si="1"/>
        <v/>
      </c>
      <c r="P16" s="39" t="str">
        <f t="shared" si="1"/>
        <v/>
      </c>
      <c r="Q16" s="39" t="str">
        <f t="shared" si="1"/>
        <v/>
      </c>
      <c r="R16" s="39" t="str">
        <f t="shared" si="2"/>
        <v/>
      </c>
      <c r="S16" s="39" t="str">
        <f t="shared" si="2"/>
        <v/>
      </c>
      <c r="T16" s="39" t="str">
        <f t="shared" si="2"/>
        <v/>
      </c>
      <c r="U16" s="39" t="str">
        <f t="shared" si="2"/>
        <v/>
      </c>
      <c r="V16" s="39" t="str">
        <f t="shared" si="2"/>
        <v/>
      </c>
      <c r="W16" s="39" t="str">
        <f t="shared" si="2"/>
        <v/>
      </c>
      <c r="X16" s="39" t="str">
        <f t="shared" si="2"/>
        <v/>
      </c>
      <c r="Y16" s="39" t="str">
        <f t="shared" si="2"/>
        <v/>
      </c>
      <c r="Z16" s="39" t="str">
        <f t="shared" si="2"/>
        <v/>
      </c>
      <c r="AA16" s="39" t="str">
        <f t="shared" si="2"/>
        <v/>
      </c>
      <c r="AB16" s="39" t="str">
        <f t="shared" si="3"/>
        <v/>
      </c>
      <c r="AC16" s="39" t="str">
        <f t="shared" si="3"/>
        <v/>
      </c>
      <c r="AD16" s="39" t="str">
        <f t="shared" si="3"/>
        <v/>
      </c>
      <c r="AE16" s="39" t="str">
        <f t="shared" si="3"/>
        <v/>
      </c>
      <c r="AF16" s="39" t="str">
        <f t="shared" si="3"/>
        <v/>
      </c>
      <c r="AG16" s="39" t="str">
        <f t="shared" si="3"/>
        <v/>
      </c>
      <c r="AH16" s="39" t="str">
        <f t="shared" si="3"/>
        <v/>
      </c>
      <c r="AI16" s="39" t="str">
        <f t="shared" si="3"/>
        <v/>
      </c>
      <c r="AJ16" s="39" t="str">
        <f t="shared" si="3"/>
        <v/>
      </c>
      <c r="AK16" s="40" t="str">
        <f t="shared" si="3"/>
        <v/>
      </c>
    </row>
    <row r="17" spans="7:37">
      <c r="G17" s="38">
        <f t="shared" si="4"/>
        <v>-2.3793103448275863</v>
      </c>
      <c r="H17" s="47" t="str">
        <f t="shared" si="1"/>
        <v/>
      </c>
      <c r="I17" s="39" t="str">
        <f t="shared" si="1"/>
        <v/>
      </c>
      <c r="J17" s="39" t="str">
        <f t="shared" si="1"/>
        <v/>
      </c>
      <c r="K17" s="39" t="str">
        <f t="shared" si="1"/>
        <v/>
      </c>
      <c r="L17" s="39" t="str">
        <f t="shared" si="1"/>
        <v/>
      </c>
      <c r="M17" s="39" t="str">
        <f t="shared" si="1"/>
        <v/>
      </c>
      <c r="N17" s="39" t="str">
        <f t="shared" si="1"/>
        <v/>
      </c>
      <c r="O17" s="39" t="str">
        <f t="shared" si="1"/>
        <v/>
      </c>
      <c r="P17" s="39" t="str">
        <f t="shared" si="1"/>
        <v/>
      </c>
      <c r="Q17" s="39" t="str">
        <f t="shared" si="1"/>
        <v/>
      </c>
      <c r="R17" s="39" t="str">
        <f t="shared" si="2"/>
        <v/>
      </c>
      <c r="S17" s="39" t="str">
        <f t="shared" si="2"/>
        <v/>
      </c>
      <c r="T17" s="39" t="str">
        <f t="shared" si="2"/>
        <v/>
      </c>
      <c r="U17" s="39" t="str">
        <f t="shared" si="2"/>
        <v/>
      </c>
      <c r="V17" s="39" t="str">
        <f t="shared" si="2"/>
        <v/>
      </c>
      <c r="W17" s="39" t="str">
        <f t="shared" si="2"/>
        <v/>
      </c>
      <c r="X17" s="39" t="str">
        <f t="shared" si="2"/>
        <v/>
      </c>
      <c r="Y17" s="39" t="str">
        <f t="shared" si="2"/>
        <v/>
      </c>
      <c r="Z17" s="39" t="str">
        <f t="shared" si="2"/>
        <v/>
      </c>
      <c r="AA17" s="39" t="str">
        <f t="shared" si="2"/>
        <v/>
      </c>
      <c r="AB17" s="39" t="str">
        <f t="shared" si="3"/>
        <v/>
      </c>
      <c r="AC17" s="39" t="str">
        <f t="shared" si="3"/>
        <v/>
      </c>
      <c r="AD17" s="39" t="str">
        <f t="shared" si="3"/>
        <v/>
      </c>
      <c r="AE17" s="39" t="str">
        <f t="shared" si="3"/>
        <v/>
      </c>
      <c r="AF17" s="39" t="str">
        <f t="shared" si="3"/>
        <v/>
      </c>
      <c r="AG17" s="39" t="str">
        <f t="shared" si="3"/>
        <v/>
      </c>
      <c r="AH17" s="39" t="str">
        <f t="shared" si="3"/>
        <v/>
      </c>
      <c r="AI17" s="39" t="str">
        <f t="shared" si="3"/>
        <v/>
      </c>
      <c r="AJ17" s="39" t="str">
        <f t="shared" si="3"/>
        <v/>
      </c>
      <c r="AK17" s="40" t="str">
        <f t="shared" si="3"/>
        <v/>
      </c>
    </row>
    <row r="18" spans="7:37">
      <c r="G18" s="38">
        <f t="shared" si="4"/>
        <v>-2.1724137931034484</v>
      </c>
      <c r="H18" s="47" t="str">
        <f t="shared" si="1"/>
        <v/>
      </c>
      <c r="I18" s="39" t="str">
        <f t="shared" si="1"/>
        <v/>
      </c>
      <c r="J18" s="39" t="str">
        <f t="shared" si="1"/>
        <v/>
      </c>
      <c r="K18" s="39" t="str">
        <f t="shared" si="1"/>
        <v/>
      </c>
      <c r="L18" s="39" t="str">
        <f t="shared" si="1"/>
        <v/>
      </c>
      <c r="M18" s="39" t="str">
        <f t="shared" si="1"/>
        <v/>
      </c>
      <c r="N18" s="39" t="str">
        <f t="shared" si="1"/>
        <v/>
      </c>
      <c r="O18" s="39" t="str">
        <f t="shared" si="1"/>
        <v/>
      </c>
      <c r="P18" s="39" t="str">
        <f t="shared" si="1"/>
        <v/>
      </c>
      <c r="Q18" s="39" t="str">
        <f t="shared" si="1"/>
        <v/>
      </c>
      <c r="R18" s="39" t="str">
        <f t="shared" si="2"/>
        <v/>
      </c>
      <c r="S18" s="39" t="str">
        <f t="shared" si="2"/>
        <v/>
      </c>
      <c r="T18" s="39" t="str">
        <f t="shared" si="2"/>
        <v/>
      </c>
      <c r="U18" s="39" t="str">
        <f t="shared" si="2"/>
        <v/>
      </c>
      <c r="V18" s="39" t="str">
        <f t="shared" si="2"/>
        <v/>
      </c>
      <c r="W18" s="39" t="str">
        <f t="shared" si="2"/>
        <v/>
      </c>
      <c r="X18" s="39" t="str">
        <f t="shared" si="2"/>
        <v/>
      </c>
      <c r="Y18" s="39" t="str">
        <f t="shared" si="2"/>
        <v/>
      </c>
      <c r="Z18" s="39" t="str">
        <f t="shared" si="2"/>
        <v/>
      </c>
      <c r="AA18" s="39" t="str">
        <f t="shared" si="2"/>
        <v/>
      </c>
      <c r="AB18" s="39" t="str">
        <f t="shared" si="3"/>
        <v/>
      </c>
      <c r="AC18" s="39" t="str">
        <f t="shared" si="3"/>
        <v/>
      </c>
      <c r="AD18" s="39" t="str">
        <f t="shared" si="3"/>
        <v/>
      </c>
      <c r="AE18" s="39" t="str">
        <f t="shared" si="3"/>
        <v/>
      </c>
      <c r="AF18" s="39" t="str">
        <f t="shared" si="3"/>
        <v/>
      </c>
      <c r="AG18" s="39" t="str">
        <f t="shared" si="3"/>
        <v/>
      </c>
      <c r="AH18" s="39" t="str">
        <f t="shared" si="3"/>
        <v/>
      </c>
      <c r="AI18" s="39" t="str">
        <f t="shared" si="3"/>
        <v/>
      </c>
      <c r="AJ18" s="39" t="str">
        <f t="shared" si="3"/>
        <v/>
      </c>
      <c r="AK18" s="40" t="str">
        <f t="shared" si="3"/>
        <v/>
      </c>
    </row>
    <row r="19" spans="7:37">
      <c r="G19" s="38">
        <f t="shared" si="4"/>
        <v>-1.9655172413793105</v>
      </c>
      <c r="H19" s="47" t="str">
        <f t="shared" si="1"/>
        <v/>
      </c>
      <c r="I19" s="39" t="str">
        <f t="shared" si="1"/>
        <v/>
      </c>
      <c r="J19" s="39" t="str">
        <f t="shared" si="1"/>
        <v/>
      </c>
      <c r="K19" s="39" t="str">
        <f t="shared" si="1"/>
        <v/>
      </c>
      <c r="L19" s="39" t="str">
        <f t="shared" si="1"/>
        <v/>
      </c>
      <c r="M19" s="39" t="str">
        <f t="shared" si="1"/>
        <v/>
      </c>
      <c r="N19" s="39" t="str">
        <f t="shared" si="1"/>
        <v/>
      </c>
      <c r="O19" s="39" t="str">
        <f t="shared" si="1"/>
        <v/>
      </c>
      <c r="P19" s="39" t="str">
        <f t="shared" si="1"/>
        <v/>
      </c>
      <c r="Q19" s="39" t="str">
        <f t="shared" si="1"/>
        <v/>
      </c>
      <c r="R19" s="39" t="str">
        <f t="shared" si="2"/>
        <v/>
      </c>
      <c r="S19" s="39" t="str">
        <f t="shared" si="2"/>
        <v/>
      </c>
      <c r="T19" s="39" t="str">
        <f t="shared" si="2"/>
        <v/>
      </c>
      <c r="U19" s="39" t="str">
        <f t="shared" si="2"/>
        <v/>
      </c>
      <c r="V19" s="39" t="str">
        <f t="shared" si="2"/>
        <v/>
      </c>
      <c r="W19" s="39" t="str">
        <f t="shared" si="2"/>
        <v/>
      </c>
      <c r="X19" s="39" t="str">
        <f t="shared" si="2"/>
        <v/>
      </c>
      <c r="Y19" s="39" t="str">
        <f t="shared" si="2"/>
        <v/>
      </c>
      <c r="Z19" s="39" t="str">
        <f t="shared" si="2"/>
        <v/>
      </c>
      <c r="AA19" s="39" t="str">
        <f t="shared" si="2"/>
        <v/>
      </c>
      <c r="AB19" s="39" t="str">
        <f t="shared" si="3"/>
        <v/>
      </c>
      <c r="AC19" s="39" t="str">
        <f t="shared" si="3"/>
        <v/>
      </c>
      <c r="AD19" s="39" t="str">
        <f t="shared" si="3"/>
        <v/>
      </c>
      <c r="AE19" s="39" t="str">
        <f t="shared" si="3"/>
        <v/>
      </c>
      <c r="AF19" s="39" t="str">
        <f t="shared" si="3"/>
        <v/>
      </c>
      <c r="AG19" s="39" t="str">
        <f t="shared" si="3"/>
        <v/>
      </c>
      <c r="AH19" s="39" t="str">
        <f t="shared" si="3"/>
        <v/>
      </c>
      <c r="AI19" s="39" t="str">
        <f t="shared" si="3"/>
        <v/>
      </c>
      <c r="AJ19" s="39" t="str">
        <f t="shared" si="3"/>
        <v/>
      </c>
      <c r="AK19" s="40" t="str">
        <f t="shared" si="3"/>
        <v/>
      </c>
    </row>
    <row r="20" spans="7:37">
      <c r="G20" s="38">
        <f t="shared" si="4"/>
        <v>-1.7586206896551726</v>
      </c>
      <c r="H20" s="47" t="str">
        <f t="shared" si="1"/>
        <v/>
      </c>
      <c r="I20" s="39" t="str">
        <f t="shared" si="1"/>
        <v/>
      </c>
      <c r="J20" s="39" t="str">
        <f t="shared" si="1"/>
        <v/>
      </c>
      <c r="K20" s="39" t="str">
        <f t="shared" si="1"/>
        <v/>
      </c>
      <c r="L20" s="39" t="str">
        <f t="shared" si="1"/>
        <v/>
      </c>
      <c r="M20" s="39" t="str">
        <f t="shared" si="1"/>
        <v/>
      </c>
      <c r="N20" s="39" t="str">
        <f t="shared" si="1"/>
        <v/>
      </c>
      <c r="O20" s="39" t="str">
        <f t="shared" si="1"/>
        <v/>
      </c>
      <c r="P20" s="39" t="str">
        <f t="shared" si="1"/>
        <v/>
      </c>
      <c r="Q20" s="39" t="str">
        <f t="shared" si="1"/>
        <v/>
      </c>
      <c r="R20" s="39" t="str">
        <f t="shared" si="2"/>
        <v/>
      </c>
      <c r="S20" s="39" t="str">
        <f t="shared" si="2"/>
        <v/>
      </c>
      <c r="T20" s="39" t="str">
        <f t="shared" si="2"/>
        <v/>
      </c>
      <c r="U20" s="39" t="str">
        <f t="shared" si="2"/>
        <v/>
      </c>
      <c r="V20" s="39" t="str">
        <f t="shared" si="2"/>
        <v/>
      </c>
      <c r="W20" s="39" t="str">
        <f t="shared" si="2"/>
        <v/>
      </c>
      <c r="X20" s="39" t="str">
        <f t="shared" si="2"/>
        <v/>
      </c>
      <c r="Y20" s="39" t="str">
        <f t="shared" si="2"/>
        <v/>
      </c>
      <c r="Z20" s="39" t="str">
        <f t="shared" si="2"/>
        <v/>
      </c>
      <c r="AA20" s="39" t="str">
        <f t="shared" si="2"/>
        <v/>
      </c>
      <c r="AB20" s="39" t="str">
        <f t="shared" si="3"/>
        <v/>
      </c>
      <c r="AC20" s="39" t="str">
        <f t="shared" si="3"/>
        <v/>
      </c>
      <c r="AD20" s="39" t="str">
        <f t="shared" si="3"/>
        <v/>
      </c>
      <c r="AE20" s="39" t="str">
        <f t="shared" si="3"/>
        <v/>
      </c>
      <c r="AF20" s="39" t="str">
        <f t="shared" si="3"/>
        <v/>
      </c>
      <c r="AG20" s="39" t="str">
        <f t="shared" si="3"/>
        <v/>
      </c>
      <c r="AH20" s="39" t="str">
        <f t="shared" si="3"/>
        <v/>
      </c>
      <c r="AI20" s="39" t="str">
        <f t="shared" si="3"/>
        <v/>
      </c>
      <c r="AJ20" s="39" t="str">
        <f t="shared" si="3"/>
        <v/>
      </c>
      <c r="AK20" s="40" t="str">
        <f t="shared" si="3"/>
        <v/>
      </c>
    </row>
    <row r="21" spans="7:37">
      <c r="G21" s="38">
        <f t="shared" si="4"/>
        <v>-1.5517241379310347</v>
      </c>
      <c r="H21" s="47" t="str">
        <f t="shared" si="1"/>
        <v/>
      </c>
      <c r="I21" s="39" t="str">
        <f t="shared" si="1"/>
        <v/>
      </c>
      <c r="J21" s="39" t="str">
        <f t="shared" si="1"/>
        <v/>
      </c>
      <c r="K21" s="39" t="str">
        <f t="shared" si="1"/>
        <v/>
      </c>
      <c r="L21" s="39" t="str">
        <f t="shared" si="1"/>
        <v/>
      </c>
      <c r="M21" s="39" t="str">
        <f t="shared" si="1"/>
        <v/>
      </c>
      <c r="N21" s="39" t="str">
        <f t="shared" si="1"/>
        <v/>
      </c>
      <c r="O21" s="39" t="str">
        <f t="shared" si="1"/>
        <v/>
      </c>
      <c r="P21" s="39" t="str">
        <f t="shared" si="1"/>
        <v/>
      </c>
      <c r="Q21" s="39" t="str">
        <f t="shared" si="1"/>
        <v/>
      </c>
      <c r="R21" s="39" t="str">
        <f t="shared" si="2"/>
        <v/>
      </c>
      <c r="S21" s="39" t="str">
        <f t="shared" si="2"/>
        <v/>
      </c>
      <c r="T21" s="39" t="str">
        <f t="shared" si="2"/>
        <v/>
      </c>
      <c r="U21" s="39" t="str">
        <f t="shared" si="2"/>
        <v/>
      </c>
      <c r="V21" s="39" t="str">
        <f t="shared" si="2"/>
        <v/>
      </c>
      <c r="W21" s="39" t="str">
        <f t="shared" si="2"/>
        <v/>
      </c>
      <c r="X21" s="39" t="str">
        <f t="shared" si="2"/>
        <v/>
      </c>
      <c r="Y21" s="39" t="str">
        <f t="shared" si="2"/>
        <v/>
      </c>
      <c r="Z21" s="39" t="str">
        <f t="shared" si="2"/>
        <v/>
      </c>
      <c r="AA21" s="39" t="str">
        <f t="shared" si="2"/>
        <v/>
      </c>
      <c r="AB21" s="39" t="str">
        <f t="shared" si="3"/>
        <v/>
      </c>
      <c r="AC21" s="39" t="str">
        <f t="shared" si="3"/>
        <v/>
      </c>
      <c r="AD21" s="39" t="str">
        <f t="shared" si="3"/>
        <v/>
      </c>
      <c r="AE21" s="39" t="str">
        <f t="shared" si="3"/>
        <v/>
      </c>
      <c r="AF21" s="39" t="str">
        <f t="shared" si="3"/>
        <v/>
      </c>
      <c r="AG21" s="39" t="str">
        <f t="shared" si="3"/>
        <v/>
      </c>
      <c r="AH21" s="39" t="str">
        <f t="shared" si="3"/>
        <v/>
      </c>
      <c r="AI21" s="39" t="str">
        <f t="shared" si="3"/>
        <v/>
      </c>
      <c r="AJ21" s="39" t="str">
        <f t="shared" si="3"/>
        <v/>
      </c>
      <c r="AK21" s="40" t="str">
        <f t="shared" si="3"/>
        <v/>
      </c>
    </row>
    <row r="22" spans="7:37">
      <c r="G22" s="38">
        <f t="shared" si="4"/>
        <v>-1.3448275862068968</v>
      </c>
      <c r="H22" s="47" t="str">
        <f t="shared" si="1"/>
        <v/>
      </c>
      <c r="I22" s="39" t="str">
        <f t="shared" si="1"/>
        <v/>
      </c>
      <c r="J22" s="39" t="str">
        <f t="shared" si="1"/>
        <v/>
      </c>
      <c r="K22" s="39" t="str">
        <f t="shared" si="1"/>
        <v/>
      </c>
      <c r="L22" s="39" t="str">
        <f t="shared" si="1"/>
        <v/>
      </c>
      <c r="M22" s="39" t="str">
        <f t="shared" si="1"/>
        <v/>
      </c>
      <c r="N22" s="39" t="str">
        <f t="shared" si="1"/>
        <v/>
      </c>
      <c r="O22" s="39" t="str">
        <f t="shared" si="1"/>
        <v/>
      </c>
      <c r="P22" s="39" t="str">
        <f t="shared" si="1"/>
        <v/>
      </c>
      <c r="Q22" s="39" t="str">
        <f t="shared" si="1"/>
        <v/>
      </c>
      <c r="R22" s="39" t="str">
        <f t="shared" si="2"/>
        <v/>
      </c>
      <c r="S22" s="39" t="str">
        <f t="shared" si="2"/>
        <v/>
      </c>
      <c r="T22" s="39" t="str">
        <f t="shared" si="2"/>
        <v/>
      </c>
      <c r="U22" s="39" t="str">
        <f t="shared" si="2"/>
        <v/>
      </c>
      <c r="V22" s="39" t="str">
        <f t="shared" si="2"/>
        <v/>
      </c>
      <c r="W22" s="39" t="str">
        <f t="shared" si="2"/>
        <v/>
      </c>
      <c r="X22" s="39" t="str">
        <f t="shared" si="2"/>
        <v/>
      </c>
      <c r="Y22" s="39" t="str">
        <f t="shared" si="2"/>
        <v/>
      </c>
      <c r="Z22" s="39" t="str">
        <f t="shared" si="2"/>
        <v/>
      </c>
      <c r="AA22" s="39" t="str">
        <f t="shared" si="2"/>
        <v/>
      </c>
      <c r="AB22" s="39" t="str">
        <f t="shared" si="3"/>
        <v/>
      </c>
      <c r="AC22" s="39" t="str">
        <f t="shared" si="3"/>
        <v/>
      </c>
      <c r="AD22" s="39" t="str">
        <f t="shared" si="3"/>
        <v/>
      </c>
      <c r="AE22" s="39" t="str">
        <f t="shared" si="3"/>
        <v/>
      </c>
      <c r="AF22" s="39" t="str">
        <f t="shared" si="3"/>
        <v/>
      </c>
      <c r="AG22" s="39" t="str">
        <f t="shared" si="3"/>
        <v/>
      </c>
      <c r="AH22" s="39" t="str">
        <f t="shared" si="3"/>
        <v/>
      </c>
      <c r="AI22" s="39" t="str">
        <f t="shared" si="3"/>
        <v/>
      </c>
      <c r="AJ22" s="39" t="str">
        <f t="shared" si="3"/>
        <v/>
      </c>
      <c r="AK22" s="40" t="str">
        <f t="shared" si="3"/>
        <v/>
      </c>
    </row>
    <row r="23" spans="7:37">
      <c r="G23" s="38">
        <f t="shared" si="4"/>
        <v>-1.1379310344827589</v>
      </c>
      <c r="H23" s="47" t="str">
        <f t="shared" si="1"/>
        <v/>
      </c>
      <c r="I23" s="39" t="str">
        <f t="shared" si="1"/>
        <v/>
      </c>
      <c r="J23" s="39" t="str">
        <f t="shared" si="1"/>
        <v/>
      </c>
      <c r="K23" s="39" t="str">
        <f t="shared" si="1"/>
        <v/>
      </c>
      <c r="L23" s="39" t="str">
        <f t="shared" si="1"/>
        <v/>
      </c>
      <c r="M23" s="39" t="str">
        <f t="shared" si="1"/>
        <v/>
      </c>
      <c r="N23" s="39" t="str">
        <f t="shared" si="1"/>
        <v/>
      </c>
      <c r="O23" s="39" t="str">
        <f t="shared" si="1"/>
        <v/>
      </c>
      <c r="P23" s="39" t="str">
        <f t="shared" si="1"/>
        <v/>
      </c>
      <c r="Q23" s="39" t="str">
        <f t="shared" si="1"/>
        <v/>
      </c>
      <c r="R23" s="39" t="str">
        <f t="shared" si="2"/>
        <v/>
      </c>
      <c r="S23" s="39" t="str">
        <f t="shared" si="2"/>
        <v/>
      </c>
      <c r="T23" s="39" t="str">
        <f t="shared" si="2"/>
        <v/>
      </c>
      <c r="U23" s="39" t="str">
        <f t="shared" si="2"/>
        <v/>
      </c>
      <c r="V23" s="39" t="str">
        <f t="shared" si="2"/>
        <v/>
      </c>
      <c r="W23" s="39" t="str">
        <f t="shared" si="2"/>
        <v/>
      </c>
      <c r="X23" s="39" t="str">
        <f t="shared" si="2"/>
        <v/>
      </c>
      <c r="Y23" s="39" t="str">
        <f t="shared" si="2"/>
        <v/>
      </c>
      <c r="Z23" s="39" t="str">
        <f t="shared" si="2"/>
        <v/>
      </c>
      <c r="AA23" s="39" t="str">
        <f t="shared" si="2"/>
        <v/>
      </c>
      <c r="AB23" s="39" t="str">
        <f t="shared" si="3"/>
        <v/>
      </c>
      <c r="AC23" s="39" t="str">
        <f t="shared" si="3"/>
        <v/>
      </c>
      <c r="AD23" s="39" t="str">
        <f t="shared" si="3"/>
        <v/>
      </c>
      <c r="AE23" s="39" t="str">
        <f t="shared" si="3"/>
        <v/>
      </c>
      <c r="AF23" s="39" t="str">
        <f t="shared" si="3"/>
        <v/>
      </c>
      <c r="AG23" s="39" t="str">
        <f t="shared" si="3"/>
        <v/>
      </c>
      <c r="AH23" s="39" t="str">
        <f t="shared" si="3"/>
        <v/>
      </c>
      <c r="AI23" s="39" t="str">
        <f t="shared" si="3"/>
        <v/>
      </c>
      <c r="AJ23" s="39" t="str">
        <f t="shared" si="3"/>
        <v/>
      </c>
      <c r="AK23" s="40" t="str">
        <f t="shared" si="3"/>
        <v/>
      </c>
    </row>
    <row r="24" spans="7:37">
      <c r="G24" s="38">
        <f t="shared" si="4"/>
        <v>-0.931034482758621</v>
      </c>
      <c r="H24" s="47" t="str">
        <f t="shared" ref="H24:Q33" si="5">IF($G$5=1,BND($G24,H$13,$D$5),"")</f>
        <v/>
      </c>
      <c r="I24" s="39" t="str">
        <f t="shared" si="5"/>
        <v/>
      </c>
      <c r="J24" s="39" t="str">
        <f t="shared" si="5"/>
        <v/>
      </c>
      <c r="K24" s="39" t="str">
        <f t="shared" si="5"/>
        <v/>
      </c>
      <c r="L24" s="39" t="str">
        <f t="shared" si="5"/>
        <v/>
      </c>
      <c r="M24" s="39" t="str">
        <f t="shared" si="5"/>
        <v/>
      </c>
      <c r="N24" s="39" t="str">
        <f t="shared" si="5"/>
        <v/>
      </c>
      <c r="O24" s="39" t="str">
        <f t="shared" si="5"/>
        <v/>
      </c>
      <c r="P24" s="39" t="str">
        <f t="shared" si="5"/>
        <v/>
      </c>
      <c r="Q24" s="39" t="str">
        <f t="shared" si="5"/>
        <v/>
      </c>
      <c r="R24" s="39" t="str">
        <f t="shared" ref="R24:AA33" si="6">IF($G$5=1,BND($G24,R$13,$D$5),"")</f>
        <v/>
      </c>
      <c r="S24" s="39" t="str">
        <f t="shared" si="6"/>
        <v/>
      </c>
      <c r="T24" s="39" t="str">
        <f t="shared" si="6"/>
        <v/>
      </c>
      <c r="U24" s="39" t="str">
        <f t="shared" si="6"/>
        <v/>
      </c>
      <c r="V24" s="39" t="str">
        <f t="shared" si="6"/>
        <v/>
      </c>
      <c r="W24" s="39" t="str">
        <f t="shared" si="6"/>
        <v/>
      </c>
      <c r="X24" s="39" t="str">
        <f t="shared" si="6"/>
        <v/>
      </c>
      <c r="Y24" s="39" t="str">
        <f t="shared" si="6"/>
        <v/>
      </c>
      <c r="Z24" s="39" t="str">
        <f t="shared" si="6"/>
        <v/>
      </c>
      <c r="AA24" s="39" t="str">
        <f t="shared" si="6"/>
        <v/>
      </c>
      <c r="AB24" s="39" t="str">
        <f t="shared" ref="AB24:AK33" si="7">IF($G$5=1,BND($G24,AB$13,$D$5),"")</f>
        <v/>
      </c>
      <c r="AC24" s="39" t="str">
        <f t="shared" si="7"/>
        <v/>
      </c>
      <c r="AD24" s="39" t="str">
        <f t="shared" si="7"/>
        <v/>
      </c>
      <c r="AE24" s="39" t="str">
        <f t="shared" si="7"/>
        <v/>
      </c>
      <c r="AF24" s="39" t="str">
        <f t="shared" si="7"/>
        <v/>
      </c>
      <c r="AG24" s="39" t="str">
        <f t="shared" si="7"/>
        <v/>
      </c>
      <c r="AH24" s="39" t="str">
        <f t="shared" si="7"/>
        <v/>
      </c>
      <c r="AI24" s="39" t="str">
        <f t="shared" si="7"/>
        <v/>
      </c>
      <c r="AJ24" s="39" t="str">
        <f t="shared" si="7"/>
        <v/>
      </c>
      <c r="AK24" s="40" t="str">
        <f t="shared" si="7"/>
        <v/>
      </c>
    </row>
    <row r="25" spans="7:37">
      <c r="G25" s="38">
        <f t="shared" si="4"/>
        <v>-0.7241379310344831</v>
      </c>
      <c r="H25" s="47" t="str">
        <f t="shared" si="5"/>
        <v/>
      </c>
      <c r="I25" s="39" t="str">
        <f t="shared" si="5"/>
        <v/>
      </c>
      <c r="J25" s="39" t="str">
        <f t="shared" si="5"/>
        <v/>
      </c>
      <c r="K25" s="39" t="str">
        <f t="shared" si="5"/>
        <v/>
      </c>
      <c r="L25" s="39" t="str">
        <f t="shared" si="5"/>
        <v/>
      </c>
      <c r="M25" s="39" t="str">
        <f t="shared" si="5"/>
        <v/>
      </c>
      <c r="N25" s="39" t="str">
        <f t="shared" si="5"/>
        <v/>
      </c>
      <c r="O25" s="39" t="str">
        <f t="shared" si="5"/>
        <v/>
      </c>
      <c r="P25" s="39" t="str">
        <f t="shared" si="5"/>
        <v/>
      </c>
      <c r="Q25" s="39" t="str">
        <f t="shared" si="5"/>
        <v/>
      </c>
      <c r="R25" s="39" t="str">
        <f t="shared" si="6"/>
        <v/>
      </c>
      <c r="S25" s="39" t="str">
        <f t="shared" si="6"/>
        <v/>
      </c>
      <c r="T25" s="39" t="str">
        <f t="shared" si="6"/>
        <v/>
      </c>
      <c r="U25" s="39" t="str">
        <f t="shared" si="6"/>
        <v/>
      </c>
      <c r="V25" s="39" t="str">
        <f t="shared" si="6"/>
        <v/>
      </c>
      <c r="W25" s="39" t="str">
        <f t="shared" si="6"/>
        <v/>
      </c>
      <c r="X25" s="39" t="str">
        <f t="shared" si="6"/>
        <v/>
      </c>
      <c r="Y25" s="39" t="str">
        <f t="shared" si="6"/>
        <v/>
      </c>
      <c r="Z25" s="39" t="str">
        <f t="shared" si="6"/>
        <v/>
      </c>
      <c r="AA25" s="39" t="str">
        <f t="shared" si="6"/>
        <v/>
      </c>
      <c r="AB25" s="39" t="str">
        <f t="shared" si="7"/>
        <v/>
      </c>
      <c r="AC25" s="39" t="str">
        <f t="shared" si="7"/>
        <v/>
      </c>
      <c r="AD25" s="39" t="str">
        <f t="shared" si="7"/>
        <v/>
      </c>
      <c r="AE25" s="39" t="str">
        <f t="shared" si="7"/>
        <v/>
      </c>
      <c r="AF25" s="39" t="str">
        <f t="shared" si="7"/>
        <v/>
      </c>
      <c r="AG25" s="39" t="str">
        <f t="shared" si="7"/>
        <v/>
      </c>
      <c r="AH25" s="39" t="str">
        <f t="shared" si="7"/>
        <v/>
      </c>
      <c r="AI25" s="39" t="str">
        <f t="shared" si="7"/>
        <v/>
      </c>
      <c r="AJ25" s="39" t="str">
        <f t="shared" si="7"/>
        <v/>
      </c>
      <c r="AK25" s="40" t="str">
        <f t="shared" si="7"/>
        <v/>
      </c>
    </row>
    <row r="26" spans="7:37">
      <c r="G26" s="38">
        <f t="shared" si="4"/>
        <v>-0.5172413793103452</v>
      </c>
      <c r="H26" s="47" t="str">
        <f t="shared" si="5"/>
        <v/>
      </c>
      <c r="I26" s="39" t="str">
        <f t="shared" si="5"/>
        <v/>
      </c>
      <c r="J26" s="39" t="str">
        <f t="shared" si="5"/>
        <v/>
      </c>
      <c r="K26" s="39" t="str">
        <f t="shared" si="5"/>
        <v/>
      </c>
      <c r="L26" s="39" t="str">
        <f t="shared" si="5"/>
        <v/>
      </c>
      <c r="M26" s="39" t="str">
        <f t="shared" si="5"/>
        <v/>
      </c>
      <c r="N26" s="39" t="str">
        <f t="shared" si="5"/>
        <v/>
      </c>
      <c r="O26" s="39" t="str">
        <f t="shared" si="5"/>
        <v/>
      </c>
      <c r="P26" s="39" t="str">
        <f t="shared" si="5"/>
        <v/>
      </c>
      <c r="Q26" s="39" t="str">
        <f t="shared" si="5"/>
        <v/>
      </c>
      <c r="R26" s="39" t="str">
        <f t="shared" si="6"/>
        <v/>
      </c>
      <c r="S26" s="39" t="str">
        <f t="shared" si="6"/>
        <v/>
      </c>
      <c r="T26" s="39" t="str">
        <f t="shared" si="6"/>
        <v/>
      </c>
      <c r="U26" s="39" t="str">
        <f t="shared" si="6"/>
        <v/>
      </c>
      <c r="V26" s="39" t="str">
        <f t="shared" si="6"/>
        <v/>
      </c>
      <c r="W26" s="39" t="str">
        <f t="shared" si="6"/>
        <v/>
      </c>
      <c r="X26" s="39" t="str">
        <f t="shared" si="6"/>
        <v/>
      </c>
      <c r="Y26" s="39" t="str">
        <f t="shared" si="6"/>
        <v/>
      </c>
      <c r="Z26" s="39" t="str">
        <f t="shared" si="6"/>
        <v/>
      </c>
      <c r="AA26" s="39" t="str">
        <f t="shared" si="6"/>
        <v/>
      </c>
      <c r="AB26" s="39" t="str">
        <f t="shared" si="7"/>
        <v/>
      </c>
      <c r="AC26" s="39" t="str">
        <f t="shared" si="7"/>
        <v/>
      </c>
      <c r="AD26" s="39" t="str">
        <f t="shared" si="7"/>
        <v/>
      </c>
      <c r="AE26" s="39" t="str">
        <f t="shared" si="7"/>
        <v/>
      </c>
      <c r="AF26" s="39" t="str">
        <f t="shared" si="7"/>
        <v/>
      </c>
      <c r="AG26" s="39" t="str">
        <f t="shared" si="7"/>
        <v/>
      </c>
      <c r="AH26" s="39" t="str">
        <f t="shared" si="7"/>
        <v/>
      </c>
      <c r="AI26" s="39" t="str">
        <f t="shared" si="7"/>
        <v/>
      </c>
      <c r="AJ26" s="39" t="str">
        <f t="shared" si="7"/>
        <v/>
      </c>
      <c r="AK26" s="40" t="str">
        <f t="shared" si="7"/>
        <v/>
      </c>
    </row>
    <row r="27" spans="7:37">
      <c r="G27" s="38">
        <f t="shared" si="4"/>
        <v>-0.31034482758620729</v>
      </c>
      <c r="H27" s="47" t="str">
        <f t="shared" si="5"/>
        <v/>
      </c>
      <c r="I27" s="39" t="str">
        <f t="shared" si="5"/>
        <v/>
      </c>
      <c r="J27" s="39" t="str">
        <f t="shared" si="5"/>
        <v/>
      </c>
      <c r="K27" s="39" t="str">
        <f t="shared" si="5"/>
        <v/>
      </c>
      <c r="L27" s="39" t="str">
        <f t="shared" si="5"/>
        <v/>
      </c>
      <c r="M27" s="39" t="str">
        <f t="shared" si="5"/>
        <v/>
      </c>
      <c r="N27" s="39" t="str">
        <f t="shared" si="5"/>
        <v/>
      </c>
      <c r="O27" s="39" t="str">
        <f t="shared" si="5"/>
        <v/>
      </c>
      <c r="P27" s="39" t="str">
        <f t="shared" si="5"/>
        <v/>
      </c>
      <c r="Q27" s="39" t="str">
        <f t="shared" si="5"/>
        <v/>
      </c>
      <c r="R27" s="39" t="str">
        <f t="shared" si="6"/>
        <v/>
      </c>
      <c r="S27" s="39" t="str">
        <f t="shared" si="6"/>
        <v/>
      </c>
      <c r="T27" s="39" t="str">
        <f t="shared" si="6"/>
        <v/>
      </c>
      <c r="U27" s="39" t="str">
        <f t="shared" si="6"/>
        <v/>
      </c>
      <c r="V27" s="39" t="str">
        <f t="shared" si="6"/>
        <v/>
      </c>
      <c r="W27" s="39" t="str">
        <f t="shared" si="6"/>
        <v/>
      </c>
      <c r="X27" s="39" t="str">
        <f t="shared" si="6"/>
        <v/>
      </c>
      <c r="Y27" s="39" t="str">
        <f t="shared" si="6"/>
        <v/>
      </c>
      <c r="Z27" s="39" t="str">
        <f t="shared" si="6"/>
        <v/>
      </c>
      <c r="AA27" s="39" t="str">
        <f t="shared" si="6"/>
        <v/>
      </c>
      <c r="AB27" s="39" t="str">
        <f t="shared" si="7"/>
        <v/>
      </c>
      <c r="AC27" s="39" t="str">
        <f t="shared" si="7"/>
        <v/>
      </c>
      <c r="AD27" s="39" t="str">
        <f t="shared" si="7"/>
        <v/>
      </c>
      <c r="AE27" s="39" t="str">
        <f t="shared" si="7"/>
        <v/>
      </c>
      <c r="AF27" s="39" t="str">
        <f t="shared" si="7"/>
        <v/>
      </c>
      <c r="AG27" s="39" t="str">
        <f t="shared" si="7"/>
        <v/>
      </c>
      <c r="AH27" s="39" t="str">
        <f t="shared" si="7"/>
        <v/>
      </c>
      <c r="AI27" s="39" t="str">
        <f t="shared" si="7"/>
        <v/>
      </c>
      <c r="AJ27" s="39" t="str">
        <f t="shared" si="7"/>
        <v/>
      </c>
      <c r="AK27" s="40" t="str">
        <f t="shared" si="7"/>
        <v/>
      </c>
    </row>
    <row r="28" spans="7:37">
      <c r="G28" s="38">
        <f t="shared" si="4"/>
        <v>-0.10344827586206937</v>
      </c>
      <c r="H28" s="47" t="str">
        <f t="shared" si="5"/>
        <v/>
      </c>
      <c r="I28" s="39" t="str">
        <f t="shared" si="5"/>
        <v/>
      </c>
      <c r="J28" s="39" t="str">
        <f t="shared" si="5"/>
        <v/>
      </c>
      <c r="K28" s="39" t="str">
        <f t="shared" si="5"/>
        <v/>
      </c>
      <c r="L28" s="39" t="str">
        <f t="shared" si="5"/>
        <v/>
      </c>
      <c r="M28" s="39" t="str">
        <f t="shared" si="5"/>
        <v/>
      </c>
      <c r="N28" s="39" t="str">
        <f t="shared" si="5"/>
        <v/>
      </c>
      <c r="O28" s="39" t="str">
        <f t="shared" si="5"/>
        <v/>
      </c>
      <c r="P28" s="39" t="str">
        <f t="shared" si="5"/>
        <v/>
      </c>
      <c r="Q28" s="39" t="str">
        <f t="shared" si="5"/>
        <v/>
      </c>
      <c r="R28" s="39" t="str">
        <f t="shared" si="6"/>
        <v/>
      </c>
      <c r="S28" s="39" t="str">
        <f t="shared" si="6"/>
        <v/>
      </c>
      <c r="T28" s="39" t="str">
        <f t="shared" si="6"/>
        <v/>
      </c>
      <c r="U28" s="39" t="str">
        <f t="shared" si="6"/>
        <v/>
      </c>
      <c r="V28" s="39" t="str">
        <f t="shared" si="6"/>
        <v/>
      </c>
      <c r="W28" s="39" t="str">
        <f t="shared" si="6"/>
        <v/>
      </c>
      <c r="X28" s="39" t="str">
        <f t="shared" si="6"/>
        <v/>
      </c>
      <c r="Y28" s="39" t="str">
        <f t="shared" si="6"/>
        <v/>
      </c>
      <c r="Z28" s="39" t="str">
        <f t="shared" si="6"/>
        <v/>
      </c>
      <c r="AA28" s="39" t="str">
        <f t="shared" si="6"/>
        <v/>
      </c>
      <c r="AB28" s="39" t="str">
        <f t="shared" si="7"/>
        <v/>
      </c>
      <c r="AC28" s="39" t="str">
        <f t="shared" si="7"/>
        <v/>
      </c>
      <c r="AD28" s="39" t="str">
        <f t="shared" si="7"/>
        <v/>
      </c>
      <c r="AE28" s="39" t="str">
        <f t="shared" si="7"/>
        <v/>
      </c>
      <c r="AF28" s="39" t="str">
        <f t="shared" si="7"/>
        <v/>
      </c>
      <c r="AG28" s="39" t="str">
        <f t="shared" si="7"/>
        <v/>
      </c>
      <c r="AH28" s="39" t="str">
        <f t="shared" si="7"/>
        <v/>
      </c>
      <c r="AI28" s="39" t="str">
        <f t="shared" si="7"/>
        <v/>
      </c>
      <c r="AJ28" s="39" t="str">
        <f t="shared" si="7"/>
        <v/>
      </c>
      <c r="AK28" s="40" t="str">
        <f t="shared" si="7"/>
        <v/>
      </c>
    </row>
    <row r="29" spans="7:37">
      <c r="G29" s="38">
        <f t="shared" si="4"/>
        <v>0.10344827586206856</v>
      </c>
      <c r="H29" s="47" t="str">
        <f t="shared" si="5"/>
        <v/>
      </c>
      <c r="I29" s="39" t="str">
        <f t="shared" si="5"/>
        <v/>
      </c>
      <c r="J29" s="39" t="str">
        <f t="shared" si="5"/>
        <v/>
      </c>
      <c r="K29" s="39" t="str">
        <f t="shared" si="5"/>
        <v/>
      </c>
      <c r="L29" s="39" t="str">
        <f t="shared" si="5"/>
        <v/>
      </c>
      <c r="M29" s="39" t="str">
        <f t="shared" si="5"/>
        <v/>
      </c>
      <c r="N29" s="39" t="str">
        <f t="shared" si="5"/>
        <v/>
      </c>
      <c r="O29" s="39" t="str">
        <f t="shared" si="5"/>
        <v/>
      </c>
      <c r="P29" s="39" t="str">
        <f t="shared" si="5"/>
        <v/>
      </c>
      <c r="Q29" s="39" t="str">
        <f t="shared" si="5"/>
        <v/>
      </c>
      <c r="R29" s="39" t="str">
        <f t="shared" si="6"/>
        <v/>
      </c>
      <c r="S29" s="39" t="str">
        <f t="shared" si="6"/>
        <v/>
      </c>
      <c r="T29" s="39" t="str">
        <f t="shared" si="6"/>
        <v/>
      </c>
      <c r="U29" s="39" t="str">
        <f t="shared" si="6"/>
        <v/>
      </c>
      <c r="V29" s="39" t="str">
        <f t="shared" si="6"/>
        <v/>
      </c>
      <c r="W29" s="39" t="str">
        <f t="shared" si="6"/>
        <v/>
      </c>
      <c r="X29" s="39" t="str">
        <f t="shared" si="6"/>
        <v/>
      </c>
      <c r="Y29" s="39" t="str">
        <f t="shared" si="6"/>
        <v/>
      </c>
      <c r="Z29" s="39" t="str">
        <f t="shared" si="6"/>
        <v/>
      </c>
      <c r="AA29" s="39" t="str">
        <f t="shared" si="6"/>
        <v/>
      </c>
      <c r="AB29" s="39" t="str">
        <f t="shared" si="7"/>
        <v/>
      </c>
      <c r="AC29" s="39" t="str">
        <f t="shared" si="7"/>
        <v/>
      </c>
      <c r="AD29" s="39" t="str">
        <f t="shared" si="7"/>
        <v/>
      </c>
      <c r="AE29" s="39" t="str">
        <f t="shared" si="7"/>
        <v/>
      </c>
      <c r="AF29" s="39" t="str">
        <f t="shared" si="7"/>
        <v/>
      </c>
      <c r="AG29" s="39" t="str">
        <f t="shared" si="7"/>
        <v/>
      </c>
      <c r="AH29" s="39" t="str">
        <f t="shared" si="7"/>
        <v/>
      </c>
      <c r="AI29" s="39" t="str">
        <f t="shared" si="7"/>
        <v/>
      </c>
      <c r="AJ29" s="39" t="str">
        <f t="shared" si="7"/>
        <v/>
      </c>
      <c r="AK29" s="40" t="str">
        <f t="shared" si="7"/>
        <v/>
      </c>
    </row>
    <row r="30" spans="7:37">
      <c r="G30" s="38">
        <f t="shared" si="4"/>
        <v>0.31034482758620652</v>
      </c>
      <c r="H30" s="47" t="str">
        <f t="shared" si="5"/>
        <v/>
      </c>
      <c r="I30" s="39" t="str">
        <f t="shared" si="5"/>
        <v/>
      </c>
      <c r="J30" s="39" t="str">
        <f t="shared" si="5"/>
        <v/>
      </c>
      <c r="K30" s="39" t="str">
        <f t="shared" si="5"/>
        <v/>
      </c>
      <c r="L30" s="39" t="str">
        <f t="shared" si="5"/>
        <v/>
      </c>
      <c r="M30" s="39" t="str">
        <f t="shared" si="5"/>
        <v/>
      </c>
      <c r="N30" s="39" t="str">
        <f t="shared" si="5"/>
        <v/>
      </c>
      <c r="O30" s="39" t="str">
        <f t="shared" si="5"/>
        <v/>
      </c>
      <c r="P30" s="39" t="str">
        <f t="shared" si="5"/>
        <v/>
      </c>
      <c r="Q30" s="39" t="str">
        <f t="shared" si="5"/>
        <v/>
      </c>
      <c r="R30" s="39" t="str">
        <f t="shared" si="6"/>
        <v/>
      </c>
      <c r="S30" s="39" t="str">
        <f t="shared" si="6"/>
        <v/>
      </c>
      <c r="T30" s="39" t="str">
        <f t="shared" si="6"/>
        <v/>
      </c>
      <c r="U30" s="39" t="str">
        <f t="shared" si="6"/>
        <v/>
      </c>
      <c r="V30" s="39" t="str">
        <f t="shared" si="6"/>
        <v/>
      </c>
      <c r="W30" s="39" t="str">
        <f t="shared" si="6"/>
        <v/>
      </c>
      <c r="X30" s="39" t="str">
        <f t="shared" si="6"/>
        <v/>
      </c>
      <c r="Y30" s="39" t="str">
        <f t="shared" si="6"/>
        <v/>
      </c>
      <c r="Z30" s="39" t="str">
        <f t="shared" si="6"/>
        <v/>
      </c>
      <c r="AA30" s="39" t="str">
        <f t="shared" si="6"/>
        <v/>
      </c>
      <c r="AB30" s="39" t="str">
        <f t="shared" si="7"/>
        <v/>
      </c>
      <c r="AC30" s="39" t="str">
        <f t="shared" si="7"/>
        <v/>
      </c>
      <c r="AD30" s="39" t="str">
        <f t="shared" si="7"/>
        <v/>
      </c>
      <c r="AE30" s="39" t="str">
        <f t="shared" si="7"/>
        <v/>
      </c>
      <c r="AF30" s="39" t="str">
        <f t="shared" si="7"/>
        <v/>
      </c>
      <c r="AG30" s="39" t="str">
        <f t="shared" si="7"/>
        <v/>
      </c>
      <c r="AH30" s="39" t="str">
        <f t="shared" si="7"/>
        <v/>
      </c>
      <c r="AI30" s="39" t="str">
        <f t="shared" si="7"/>
        <v/>
      </c>
      <c r="AJ30" s="39" t="str">
        <f t="shared" si="7"/>
        <v/>
      </c>
      <c r="AK30" s="40" t="str">
        <f t="shared" si="7"/>
        <v/>
      </c>
    </row>
    <row r="31" spans="7:37">
      <c r="G31" s="38">
        <f t="shared" si="4"/>
        <v>0.51724137931034442</v>
      </c>
      <c r="H31" s="47" t="str">
        <f t="shared" si="5"/>
        <v/>
      </c>
      <c r="I31" s="39" t="str">
        <f t="shared" si="5"/>
        <v/>
      </c>
      <c r="J31" s="39" t="str">
        <f t="shared" si="5"/>
        <v/>
      </c>
      <c r="K31" s="39" t="str">
        <f t="shared" si="5"/>
        <v/>
      </c>
      <c r="L31" s="39" t="str">
        <f t="shared" si="5"/>
        <v/>
      </c>
      <c r="M31" s="39" t="str">
        <f t="shared" si="5"/>
        <v/>
      </c>
      <c r="N31" s="39" t="str">
        <f t="shared" si="5"/>
        <v/>
      </c>
      <c r="O31" s="39" t="str">
        <f t="shared" si="5"/>
        <v/>
      </c>
      <c r="P31" s="39" t="str">
        <f t="shared" si="5"/>
        <v/>
      </c>
      <c r="Q31" s="39" t="str">
        <f t="shared" si="5"/>
        <v/>
      </c>
      <c r="R31" s="39" t="str">
        <f t="shared" si="6"/>
        <v/>
      </c>
      <c r="S31" s="39" t="str">
        <f t="shared" si="6"/>
        <v/>
      </c>
      <c r="T31" s="39" t="str">
        <f t="shared" si="6"/>
        <v/>
      </c>
      <c r="U31" s="39" t="str">
        <f t="shared" si="6"/>
        <v/>
      </c>
      <c r="V31" s="39" t="str">
        <f t="shared" si="6"/>
        <v/>
      </c>
      <c r="W31" s="39" t="str">
        <f t="shared" si="6"/>
        <v/>
      </c>
      <c r="X31" s="39" t="str">
        <f t="shared" si="6"/>
        <v/>
      </c>
      <c r="Y31" s="39" t="str">
        <f t="shared" si="6"/>
        <v/>
      </c>
      <c r="Z31" s="39" t="str">
        <f t="shared" si="6"/>
        <v/>
      </c>
      <c r="AA31" s="39" t="str">
        <f t="shared" si="6"/>
        <v/>
      </c>
      <c r="AB31" s="39" t="str">
        <f t="shared" si="7"/>
        <v/>
      </c>
      <c r="AC31" s="39" t="str">
        <f t="shared" si="7"/>
        <v/>
      </c>
      <c r="AD31" s="39" t="str">
        <f t="shared" si="7"/>
        <v/>
      </c>
      <c r="AE31" s="39" t="str">
        <f t="shared" si="7"/>
        <v/>
      </c>
      <c r="AF31" s="39" t="str">
        <f t="shared" si="7"/>
        <v/>
      </c>
      <c r="AG31" s="39" t="str">
        <f t="shared" si="7"/>
        <v/>
      </c>
      <c r="AH31" s="39" t="str">
        <f t="shared" si="7"/>
        <v/>
      </c>
      <c r="AI31" s="39" t="str">
        <f t="shared" si="7"/>
        <v/>
      </c>
      <c r="AJ31" s="39" t="str">
        <f t="shared" si="7"/>
        <v/>
      </c>
      <c r="AK31" s="40" t="str">
        <f t="shared" si="7"/>
        <v/>
      </c>
    </row>
    <row r="32" spans="7:37">
      <c r="G32" s="38">
        <f t="shared" si="4"/>
        <v>0.72413793103448232</v>
      </c>
      <c r="H32" s="47" t="str">
        <f t="shared" si="5"/>
        <v/>
      </c>
      <c r="I32" s="39" t="str">
        <f t="shared" si="5"/>
        <v/>
      </c>
      <c r="J32" s="39" t="str">
        <f t="shared" si="5"/>
        <v/>
      </c>
      <c r="K32" s="39" t="str">
        <f t="shared" si="5"/>
        <v/>
      </c>
      <c r="L32" s="39" t="str">
        <f t="shared" si="5"/>
        <v/>
      </c>
      <c r="M32" s="39" t="str">
        <f t="shared" si="5"/>
        <v/>
      </c>
      <c r="N32" s="39" t="str">
        <f t="shared" si="5"/>
        <v/>
      </c>
      <c r="O32" s="39" t="str">
        <f t="shared" si="5"/>
        <v/>
      </c>
      <c r="P32" s="39" t="str">
        <f t="shared" si="5"/>
        <v/>
      </c>
      <c r="Q32" s="39" t="str">
        <f t="shared" si="5"/>
        <v/>
      </c>
      <c r="R32" s="39" t="str">
        <f t="shared" si="6"/>
        <v/>
      </c>
      <c r="S32" s="39" t="str">
        <f t="shared" si="6"/>
        <v/>
      </c>
      <c r="T32" s="39" t="str">
        <f t="shared" si="6"/>
        <v/>
      </c>
      <c r="U32" s="39" t="str">
        <f t="shared" si="6"/>
        <v/>
      </c>
      <c r="V32" s="39" t="str">
        <f t="shared" si="6"/>
        <v/>
      </c>
      <c r="W32" s="39" t="str">
        <f t="shared" si="6"/>
        <v/>
      </c>
      <c r="X32" s="39" t="str">
        <f t="shared" si="6"/>
        <v/>
      </c>
      <c r="Y32" s="39" t="str">
        <f t="shared" si="6"/>
        <v/>
      </c>
      <c r="Z32" s="39" t="str">
        <f t="shared" si="6"/>
        <v/>
      </c>
      <c r="AA32" s="39" t="str">
        <f t="shared" si="6"/>
        <v/>
      </c>
      <c r="AB32" s="39" t="str">
        <f t="shared" si="7"/>
        <v/>
      </c>
      <c r="AC32" s="39" t="str">
        <f t="shared" si="7"/>
        <v/>
      </c>
      <c r="AD32" s="39" t="str">
        <f t="shared" si="7"/>
        <v/>
      </c>
      <c r="AE32" s="39" t="str">
        <f t="shared" si="7"/>
        <v/>
      </c>
      <c r="AF32" s="39" t="str">
        <f t="shared" si="7"/>
        <v/>
      </c>
      <c r="AG32" s="39" t="str">
        <f t="shared" si="7"/>
        <v/>
      </c>
      <c r="AH32" s="39" t="str">
        <f t="shared" si="7"/>
        <v/>
      </c>
      <c r="AI32" s="39" t="str">
        <f t="shared" si="7"/>
        <v/>
      </c>
      <c r="AJ32" s="39" t="str">
        <f t="shared" si="7"/>
        <v/>
      </c>
      <c r="AK32" s="40" t="str">
        <f t="shared" si="7"/>
        <v/>
      </c>
    </row>
    <row r="33" spans="7:37">
      <c r="G33" s="38">
        <f t="shared" si="4"/>
        <v>0.93103448275862022</v>
      </c>
      <c r="H33" s="47" t="str">
        <f t="shared" si="5"/>
        <v/>
      </c>
      <c r="I33" s="39" t="str">
        <f t="shared" si="5"/>
        <v/>
      </c>
      <c r="J33" s="39" t="str">
        <f t="shared" si="5"/>
        <v/>
      </c>
      <c r="K33" s="39" t="str">
        <f t="shared" si="5"/>
        <v/>
      </c>
      <c r="L33" s="39" t="str">
        <f t="shared" si="5"/>
        <v/>
      </c>
      <c r="M33" s="39" t="str">
        <f t="shared" si="5"/>
        <v/>
      </c>
      <c r="N33" s="39" t="str">
        <f t="shared" si="5"/>
        <v/>
      </c>
      <c r="O33" s="39" t="str">
        <f t="shared" si="5"/>
        <v/>
      </c>
      <c r="P33" s="39" t="str">
        <f t="shared" si="5"/>
        <v/>
      </c>
      <c r="Q33" s="39" t="str">
        <f t="shared" si="5"/>
        <v/>
      </c>
      <c r="R33" s="39" t="str">
        <f t="shared" si="6"/>
        <v/>
      </c>
      <c r="S33" s="39" t="str">
        <f t="shared" si="6"/>
        <v/>
      </c>
      <c r="T33" s="39" t="str">
        <f t="shared" si="6"/>
        <v/>
      </c>
      <c r="U33" s="39" t="str">
        <f t="shared" si="6"/>
        <v/>
      </c>
      <c r="V33" s="39" t="str">
        <f t="shared" si="6"/>
        <v/>
      </c>
      <c r="W33" s="39" t="str">
        <f t="shared" si="6"/>
        <v/>
      </c>
      <c r="X33" s="39" t="str">
        <f t="shared" si="6"/>
        <v/>
      </c>
      <c r="Y33" s="39" t="str">
        <f t="shared" si="6"/>
        <v/>
      </c>
      <c r="Z33" s="39" t="str">
        <f t="shared" si="6"/>
        <v/>
      </c>
      <c r="AA33" s="39" t="str">
        <f t="shared" si="6"/>
        <v/>
      </c>
      <c r="AB33" s="39" t="str">
        <f t="shared" si="7"/>
        <v/>
      </c>
      <c r="AC33" s="39" t="str">
        <f t="shared" si="7"/>
        <v/>
      </c>
      <c r="AD33" s="39" t="str">
        <f t="shared" si="7"/>
        <v/>
      </c>
      <c r="AE33" s="39" t="str">
        <f t="shared" si="7"/>
        <v/>
      </c>
      <c r="AF33" s="39" t="str">
        <f t="shared" si="7"/>
        <v/>
      </c>
      <c r="AG33" s="39" t="str">
        <f t="shared" si="7"/>
        <v/>
      </c>
      <c r="AH33" s="39" t="str">
        <f t="shared" si="7"/>
        <v/>
      </c>
      <c r="AI33" s="39" t="str">
        <f t="shared" si="7"/>
        <v/>
      </c>
      <c r="AJ33" s="39" t="str">
        <f t="shared" si="7"/>
        <v/>
      </c>
      <c r="AK33" s="40" t="str">
        <f t="shared" si="7"/>
        <v/>
      </c>
    </row>
    <row r="34" spans="7:37">
      <c r="G34" s="38">
        <f t="shared" si="4"/>
        <v>1.1379310344827582</v>
      </c>
      <c r="H34" s="47" t="str">
        <f t="shared" ref="H34:Q43" si="8">IF($G$5=1,BND($G34,H$13,$D$5),"")</f>
        <v/>
      </c>
      <c r="I34" s="39" t="str">
        <f t="shared" si="8"/>
        <v/>
      </c>
      <c r="J34" s="39" t="str">
        <f t="shared" si="8"/>
        <v/>
      </c>
      <c r="K34" s="39" t="str">
        <f t="shared" si="8"/>
        <v/>
      </c>
      <c r="L34" s="39" t="str">
        <f t="shared" si="8"/>
        <v/>
      </c>
      <c r="M34" s="39" t="str">
        <f t="shared" si="8"/>
        <v/>
      </c>
      <c r="N34" s="39" t="str">
        <f t="shared" si="8"/>
        <v/>
      </c>
      <c r="O34" s="39" t="str">
        <f t="shared" si="8"/>
        <v/>
      </c>
      <c r="P34" s="39" t="str">
        <f t="shared" si="8"/>
        <v/>
      </c>
      <c r="Q34" s="39" t="str">
        <f t="shared" si="8"/>
        <v/>
      </c>
      <c r="R34" s="39" t="str">
        <f t="shared" ref="R34:AA43" si="9">IF($G$5=1,BND($G34,R$13,$D$5),"")</f>
        <v/>
      </c>
      <c r="S34" s="39" t="str">
        <f t="shared" si="9"/>
        <v/>
      </c>
      <c r="T34" s="39" t="str">
        <f t="shared" si="9"/>
        <v/>
      </c>
      <c r="U34" s="39" t="str">
        <f t="shared" si="9"/>
        <v/>
      </c>
      <c r="V34" s="39" t="str">
        <f t="shared" si="9"/>
        <v/>
      </c>
      <c r="W34" s="39" t="str">
        <f t="shared" si="9"/>
        <v/>
      </c>
      <c r="X34" s="39" t="str">
        <f t="shared" si="9"/>
        <v/>
      </c>
      <c r="Y34" s="39" t="str">
        <f t="shared" si="9"/>
        <v/>
      </c>
      <c r="Z34" s="39" t="str">
        <f t="shared" si="9"/>
        <v/>
      </c>
      <c r="AA34" s="39" t="str">
        <f t="shared" si="9"/>
        <v/>
      </c>
      <c r="AB34" s="39" t="str">
        <f t="shared" ref="AB34:AK43" si="10">IF($G$5=1,BND($G34,AB$13,$D$5),"")</f>
        <v/>
      </c>
      <c r="AC34" s="39" t="str">
        <f t="shared" si="10"/>
        <v/>
      </c>
      <c r="AD34" s="39" t="str">
        <f t="shared" si="10"/>
        <v/>
      </c>
      <c r="AE34" s="39" t="str">
        <f t="shared" si="10"/>
        <v/>
      </c>
      <c r="AF34" s="39" t="str">
        <f t="shared" si="10"/>
        <v/>
      </c>
      <c r="AG34" s="39" t="str">
        <f t="shared" si="10"/>
        <v/>
      </c>
      <c r="AH34" s="39" t="str">
        <f t="shared" si="10"/>
        <v/>
      </c>
      <c r="AI34" s="39" t="str">
        <f t="shared" si="10"/>
        <v/>
      </c>
      <c r="AJ34" s="39" t="str">
        <f t="shared" si="10"/>
        <v/>
      </c>
      <c r="AK34" s="40" t="str">
        <f t="shared" si="10"/>
        <v/>
      </c>
    </row>
    <row r="35" spans="7:37">
      <c r="G35" s="38">
        <f t="shared" si="4"/>
        <v>1.3448275862068961</v>
      </c>
      <c r="H35" s="47" t="str">
        <f t="shared" si="8"/>
        <v/>
      </c>
      <c r="I35" s="39" t="str">
        <f t="shared" si="8"/>
        <v/>
      </c>
      <c r="J35" s="39" t="str">
        <f t="shared" si="8"/>
        <v/>
      </c>
      <c r="K35" s="39" t="str">
        <f t="shared" si="8"/>
        <v/>
      </c>
      <c r="L35" s="39" t="str">
        <f t="shared" si="8"/>
        <v/>
      </c>
      <c r="M35" s="39" t="str">
        <f t="shared" si="8"/>
        <v/>
      </c>
      <c r="N35" s="39" t="str">
        <f t="shared" si="8"/>
        <v/>
      </c>
      <c r="O35" s="39" t="str">
        <f t="shared" si="8"/>
        <v/>
      </c>
      <c r="P35" s="39" t="str">
        <f t="shared" si="8"/>
        <v/>
      </c>
      <c r="Q35" s="39" t="str">
        <f t="shared" si="8"/>
        <v/>
      </c>
      <c r="R35" s="39" t="str">
        <f t="shared" si="9"/>
        <v/>
      </c>
      <c r="S35" s="39" t="str">
        <f t="shared" si="9"/>
        <v/>
      </c>
      <c r="T35" s="39" t="str">
        <f t="shared" si="9"/>
        <v/>
      </c>
      <c r="U35" s="39" t="str">
        <f t="shared" si="9"/>
        <v/>
      </c>
      <c r="V35" s="39" t="str">
        <f t="shared" si="9"/>
        <v/>
      </c>
      <c r="W35" s="39" t="str">
        <f t="shared" si="9"/>
        <v/>
      </c>
      <c r="X35" s="39" t="str">
        <f t="shared" si="9"/>
        <v/>
      </c>
      <c r="Y35" s="39" t="str">
        <f t="shared" si="9"/>
        <v/>
      </c>
      <c r="Z35" s="39" t="str">
        <f t="shared" si="9"/>
        <v/>
      </c>
      <c r="AA35" s="39" t="str">
        <f t="shared" si="9"/>
        <v/>
      </c>
      <c r="AB35" s="39" t="str">
        <f t="shared" si="10"/>
        <v/>
      </c>
      <c r="AC35" s="39" t="str">
        <f t="shared" si="10"/>
        <v/>
      </c>
      <c r="AD35" s="39" t="str">
        <f t="shared" si="10"/>
        <v/>
      </c>
      <c r="AE35" s="39" t="str">
        <f t="shared" si="10"/>
        <v/>
      </c>
      <c r="AF35" s="39" t="str">
        <f t="shared" si="10"/>
        <v/>
      </c>
      <c r="AG35" s="39" t="str">
        <f t="shared" si="10"/>
        <v/>
      </c>
      <c r="AH35" s="39" t="str">
        <f t="shared" si="10"/>
        <v/>
      </c>
      <c r="AI35" s="39" t="str">
        <f t="shared" si="10"/>
        <v/>
      </c>
      <c r="AJ35" s="39" t="str">
        <f t="shared" si="10"/>
        <v/>
      </c>
      <c r="AK35" s="40" t="str">
        <f t="shared" si="10"/>
        <v/>
      </c>
    </row>
    <row r="36" spans="7:37">
      <c r="G36" s="38">
        <f t="shared" si="4"/>
        <v>1.551724137931034</v>
      </c>
      <c r="H36" s="47" t="str">
        <f t="shared" si="8"/>
        <v/>
      </c>
      <c r="I36" s="39" t="str">
        <f t="shared" si="8"/>
        <v/>
      </c>
      <c r="J36" s="39" t="str">
        <f t="shared" si="8"/>
        <v/>
      </c>
      <c r="K36" s="39" t="str">
        <f t="shared" si="8"/>
        <v/>
      </c>
      <c r="L36" s="39" t="str">
        <f t="shared" si="8"/>
        <v/>
      </c>
      <c r="M36" s="39" t="str">
        <f t="shared" si="8"/>
        <v/>
      </c>
      <c r="N36" s="39" t="str">
        <f t="shared" si="8"/>
        <v/>
      </c>
      <c r="O36" s="39" t="str">
        <f t="shared" si="8"/>
        <v/>
      </c>
      <c r="P36" s="39" t="str">
        <f t="shared" si="8"/>
        <v/>
      </c>
      <c r="Q36" s="39" t="str">
        <f t="shared" si="8"/>
        <v/>
      </c>
      <c r="R36" s="39" t="str">
        <f t="shared" si="9"/>
        <v/>
      </c>
      <c r="S36" s="39" t="str">
        <f t="shared" si="9"/>
        <v/>
      </c>
      <c r="T36" s="39" t="str">
        <f t="shared" si="9"/>
        <v/>
      </c>
      <c r="U36" s="39" t="str">
        <f t="shared" si="9"/>
        <v/>
      </c>
      <c r="V36" s="39" t="str">
        <f t="shared" si="9"/>
        <v/>
      </c>
      <c r="W36" s="39" t="str">
        <f t="shared" si="9"/>
        <v/>
      </c>
      <c r="X36" s="39" t="str">
        <f t="shared" si="9"/>
        <v/>
      </c>
      <c r="Y36" s="39" t="str">
        <f t="shared" si="9"/>
        <v/>
      </c>
      <c r="Z36" s="39" t="str">
        <f t="shared" si="9"/>
        <v/>
      </c>
      <c r="AA36" s="39" t="str">
        <f t="shared" si="9"/>
        <v/>
      </c>
      <c r="AB36" s="39" t="str">
        <f t="shared" si="10"/>
        <v/>
      </c>
      <c r="AC36" s="39" t="str">
        <f t="shared" si="10"/>
        <v/>
      </c>
      <c r="AD36" s="39" t="str">
        <f t="shared" si="10"/>
        <v/>
      </c>
      <c r="AE36" s="39" t="str">
        <f t="shared" si="10"/>
        <v/>
      </c>
      <c r="AF36" s="39" t="str">
        <f t="shared" si="10"/>
        <v/>
      </c>
      <c r="AG36" s="39" t="str">
        <f t="shared" si="10"/>
        <v/>
      </c>
      <c r="AH36" s="39" t="str">
        <f t="shared" si="10"/>
        <v/>
      </c>
      <c r="AI36" s="39" t="str">
        <f t="shared" si="10"/>
        <v/>
      </c>
      <c r="AJ36" s="39" t="str">
        <f t="shared" si="10"/>
        <v/>
      </c>
      <c r="AK36" s="40" t="str">
        <f t="shared" si="10"/>
        <v/>
      </c>
    </row>
    <row r="37" spans="7:37">
      <c r="G37" s="38">
        <f t="shared" si="4"/>
        <v>1.7586206896551719</v>
      </c>
      <c r="H37" s="47" t="str">
        <f t="shared" si="8"/>
        <v/>
      </c>
      <c r="I37" s="39" t="str">
        <f t="shared" si="8"/>
        <v/>
      </c>
      <c r="J37" s="39" t="str">
        <f t="shared" si="8"/>
        <v/>
      </c>
      <c r="K37" s="39" t="str">
        <f t="shared" si="8"/>
        <v/>
      </c>
      <c r="L37" s="39" t="str">
        <f t="shared" si="8"/>
        <v/>
      </c>
      <c r="M37" s="39" t="str">
        <f t="shared" si="8"/>
        <v/>
      </c>
      <c r="N37" s="39" t="str">
        <f t="shared" si="8"/>
        <v/>
      </c>
      <c r="O37" s="39" t="str">
        <f t="shared" si="8"/>
        <v/>
      </c>
      <c r="P37" s="39" t="str">
        <f t="shared" si="8"/>
        <v/>
      </c>
      <c r="Q37" s="39" t="str">
        <f t="shared" si="8"/>
        <v/>
      </c>
      <c r="R37" s="39" t="str">
        <f t="shared" si="9"/>
        <v/>
      </c>
      <c r="S37" s="39" t="str">
        <f t="shared" si="9"/>
        <v/>
      </c>
      <c r="T37" s="39" t="str">
        <f t="shared" si="9"/>
        <v/>
      </c>
      <c r="U37" s="39" t="str">
        <f t="shared" si="9"/>
        <v/>
      </c>
      <c r="V37" s="39" t="str">
        <f t="shared" si="9"/>
        <v/>
      </c>
      <c r="W37" s="39" t="str">
        <f t="shared" si="9"/>
        <v/>
      </c>
      <c r="X37" s="39" t="str">
        <f t="shared" si="9"/>
        <v/>
      </c>
      <c r="Y37" s="39" t="str">
        <f t="shared" si="9"/>
        <v/>
      </c>
      <c r="Z37" s="39" t="str">
        <f t="shared" si="9"/>
        <v/>
      </c>
      <c r="AA37" s="39" t="str">
        <f t="shared" si="9"/>
        <v/>
      </c>
      <c r="AB37" s="39" t="str">
        <f t="shared" si="10"/>
        <v/>
      </c>
      <c r="AC37" s="39" t="str">
        <f t="shared" si="10"/>
        <v/>
      </c>
      <c r="AD37" s="39" t="str">
        <f t="shared" si="10"/>
        <v/>
      </c>
      <c r="AE37" s="39" t="str">
        <f t="shared" si="10"/>
        <v/>
      </c>
      <c r="AF37" s="39" t="str">
        <f t="shared" si="10"/>
        <v/>
      </c>
      <c r="AG37" s="39" t="str">
        <f t="shared" si="10"/>
        <v/>
      </c>
      <c r="AH37" s="39" t="str">
        <f t="shared" si="10"/>
        <v/>
      </c>
      <c r="AI37" s="39" t="str">
        <f t="shared" si="10"/>
        <v/>
      </c>
      <c r="AJ37" s="39" t="str">
        <f t="shared" si="10"/>
        <v/>
      </c>
      <c r="AK37" s="40" t="str">
        <f t="shared" si="10"/>
        <v/>
      </c>
    </row>
    <row r="38" spans="7:37">
      <c r="G38" s="38">
        <f t="shared" si="4"/>
        <v>1.9655172413793098</v>
      </c>
      <c r="H38" s="47" t="str">
        <f t="shared" si="8"/>
        <v/>
      </c>
      <c r="I38" s="39" t="str">
        <f t="shared" si="8"/>
        <v/>
      </c>
      <c r="J38" s="39" t="str">
        <f t="shared" si="8"/>
        <v/>
      </c>
      <c r="K38" s="39" t="str">
        <f t="shared" si="8"/>
        <v/>
      </c>
      <c r="L38" s="39" t="str">
        <f t="shared" si="8"/>
        <v/>
      </c>
      <c r="M38" s="39" t="str">
        <f t="shared" si="8"/>
        <v/>
      </c>
      <c r="N38" s="39" t="str">
        <f t="shared" si="8"/>
        <v/>
      </c>
      <c r="O38" s="39" t="str">
        <f t="shared" si="8"/>
        <v/>
      </c>
      <c r="P38" s="39" t="str">
        <f t="shared" si="8"/>
        <v/>
      </c>
      <c r="Q38" s="39" t="str">
        <f t="shared" si="8"/>
        <v/>
      </c>
      <c r="R38" s="39" t="str">
        <f t="shared" si="9"/>
        <v/>
      </c>
      <c r="S38" s="39" t="str">
        <f t="shared" si="9"/>
        <v/>
      </c>
      <c r="T38" s="39" t="str">
        <f t="shared" si="9"/>
        <v/>
      </c>
      <c r="U38" s="39" t="str">
        <f t="shared" si="9"/>
        <v/>
      </c>
      <c r="V38" s="39" t="str">
        <f t="shared" si="9"/>
        <v/>
      </c>
      <c r="W38" s="39" t="str">
        <f t="shared" si="9"/>
        <v/>
      </c>
      <c r="X38" s="39" t="str">
        <f t="shared" si="9"/>
        <v/>
      </c>
      <c r="Y38" s="39" t="str">
        <f t="shared" si="9"/>
        <v/>
      </c>
      <c r="Z38" s="39" t="str">
        <f t="shared" si="9"/>
        <v/>
      </c>
      <c r="AA38" s="39" t="str">
        <f t="shared" si="9"/>
        <v/>
      </c>
      <c r="AB38" s="39" t="str">
        <f t="shared" si="10"/>
        <v/>
      </c>
      <c r="AC38" s="39" t="str">
        <f t="shared" si="10"/>
        <v/>
      </c>
      <c r="AD38" s="39" t="str">
        <f t="shared" si="10"/>
        <v/>
      </c>
      <c r="AE38" s="39" t="str">
        <f t="shared" si="10"/>
        <v/>
      </c>
      <c r="AF38" s="39" t="str">
        <f t="shared" si="10"/>
        <v/>
      </c>
      <c r="AG38" s="39" t="str">
        <f t="shared" si="10"/>
        <v/>
      </c>
      <c r="AH38" s="39" t="str">
        <f t="shared" si="10"/>
        <v/>
      </c>
      <c r="AI38" s="39" t="str">
        <f t="shared" si="10"/>
        <v/>
      </c>
      <c r="AJ38" s="39" t="str">
        <f t="shared" si="10"/>
        <v/>
      </c>
      <c r="AK38" s="40" t="str">
        <f t="shared" si="10"/>
        <v/>
      </c>
    </row>
    <row r="39" spans="7:37">
      <c r="G39" s="38">
        <f t="shared" si="4"/>
        <v>2.172413793103448</v>
      </c>
      <c r="H39" s="47" t="str">
        <f t="shared" si="8"/>
        <v/>
      </c>
      <c r="I39" s="39" t="str">
        <f t="shared" si="8"/>
        <v/>
      </c>
      <c r="J39" s="39" t="str">
        <f t="shared" si="8"/>
        <v/>
      </c>
      <c r="K39" s="39" t="str">
        <f t="shared" si="8"/>
        <v/>
      </c>
      <c r="L39" s="39" t="str">
        <f t="shared" si="8"/>
        <v/>
      </c>
      <c r="M39" s="39" t="str">
        <f t="shared" si="8"/>
        <v/>
      </c>
      <c r="N39" s="39" t="str">
        <f t="shared" si="8"/>
        <v/>
      </c>
      <c r="O39" s="39" t="str">
        <f t="shared" si="8"/>
        <v/>
      </c>
      <c r="P39" s="39" t="str">
        <f t="shared" si="8"/>
        <v/>
      </c>
      <c r="Q39" s="39" t="str">
        <f t="shared" si="8"/>
        <v/>
      </c>
      <c r="R39" s="39" t="str">
        <f t="shared" si="9"/>
        <v/>
      </c>
      <c r="S39" s="39" t="str">
        <f t="shared" si="9"/>
        <v/>
      </c>
      <c r="T39" s="39" t="str">
        <f t="shared" si="9"/>
        <v/>
      </c>
      <c r="U39" s="39" t="str">
        <f t="shared" si="9"/>
        <v/>
      </c>
      <c r="V39" s="39" t="str">
        <f t="shared" si="9"/>
        <v/>
      </c>
      <c r="W39" s="39" t="str">
        <f t="shared" si="9"/>
        <v/>
      </c>
      <c r="X39" s="39" t="str">
        <f t="shared" si="9"/>
        <v/>
      </c>
      <c r="Y39" s="39" t="str">
        <f t="shared" si="9"/>
        <v/>
      </c>
      <c r="Z39" s="39" t="str">
        <f t="shared" si="9"/>
        <v/>
      </c>
      <c r="AA39" s="39" t="str">
        <f t="shared" si="9"/>
        <v/>
      </c>
      <c r="AB39" s="39" t="str">
        <f t="shared" si="10"/>
        <v/>
      </c>
      <c r="AC39" s="39" t="str">
        <f t="shared" si="10"/>
        <v/>
      </c>
      <c r="AD39" s="39" t="str">
        <f t="shared" si="10"/>
        <v/>
      </c>
      <c r="AE39" s="39" t="str">
        <f t="shared" si="10"/>
        <v/>
      </c>
      <c r="AF39" s="39" t="str">
        <f t="shared" si="10"/>
        <v/>
      </c>
      <c r="AG39" s="39" t="str">
        <f t="shared" si="10"/>
        <v/>
      </c>
      <c r="AH39" s="39" t="str">
        <f t="shared" si="10"/>
        <v/>
      </c>
      <c r="AI39" s="39" t="str">
        <f t="shared" si="10"/>
        <v/>
      </c>
      <c r="AJ39" s="39" t="str">
        <f t="shared" si="10"/>
        <v/>
      </c>
      <c r="AK39" s="40" t="str">
        <f t="shared" si="10"/>
        <v/>
      </c>
    </row>
    <row r="40" spans="7:37">
      <c r="G40" s="38">
        <f t="shared" si="4"/>
        <v>2.3793103448275859</v>
      </c>
      <c r="H40" s="47" t="str">
        <f t="shared" si="8"/>
        <v/>
      </c>
      <c r="I40" s="39" t="str">
        <f t="shared" si="8"/>
        <v/>
      </c>
      <c r="J40" s="39" t="str">
        <f t="shared" si="8"/>
        <v/>
      </c>
      <c r="K40" s="39" t="str">
        <f t="shared" si="8"/>
        <v/>
      </c>
      <c r="L40" s="39" t="str">
        <f t="shared" si="8"/>
        <v/>
      </c>
      <c r="M40" s="39" t="str">
        <f t="shared" si="8"/>
        <v/>
      </c>
      <c r="N40" s="39" t="str">
        <f t="shared" si="8"/>
        <v/>
      </c>
      <c r="O40" s="39" t="str">
        <f t="shared" si="8"/>
        <v/>
      </c>
      <c r="P40" s="39" t="str">
        <f t="shared" si="8"/>
        <v/>
      </c>
      <c r="Q40" s="39" t="str">
        <f t="shared" si="8"/>
        <v/>
      </c>
      <c r="R40" s="39" t="str">
        <f t="shared" si="9"/>
        <v/>
      </c>
      <c r="S40" s="39" t="str">
        <f t="shared" si="9"/>
        <v/>
      </c>
      <c r="T40" s="39" t="str">
        <f t="shared" si="9"/>
        <v/>
      </c>
      <c r="U40" s="39" t="str">
        <f t="shared" si="9"/>
        <v/>
      </c>
      <c r="V40" s="39" t="str">
        <f t="shared" si="9"/>
        <v/>
      </c>
      <c r="W40" s="39" t="str">
        <f t="shared" si="9"/>
        <v/>
      </c>
      <c r="X40" s="39" t="str">
        <f t="shared" si="9"/>
        <v/>
      </c>
      <c r="Y40" s="39" t="str">
        <f t="shared" si="9"/>
        <v/>
      </c>
      <c r="Z40" s="39" t="str">
        <f t="shared" si="9"/>
        <v/>
      </c>
      <c r="AA40" s="39" t="str">
        <f t="shared" si="9"/>
        <v/>
      </c>
      <c r="AB40" s="39" t="str">
        <f t="shared" si="10"/>
        <v/>
      </c>
      <c r="AC40" s="39" t="str">
        <f t="shared" si="10"/>
        <v/>
      </c>
      <c r="AD40" s="39" t="str">
        <f t="shared" si="10"/>
        <v/>
      </c>
      <c r="AE40" s="39" t="str">
        <f t="shared" si="10"/>
        <v/>
      </c>
      <c r="AF40" s="39" t="str">
        <f t="shared" si="10"/>
        <v/>
      </c>
      <c r="AG40" s="39" t="str">
        <f t="shared" si="10"/>
        <v/>
      </c>
      <c r="AH40" s="39" t="str">
        <f t="shared" si="10"/>
        <v/>
      </c>
      <c r="AI40" s="39" t="str">
        <f t="shared" si="10"/>
        <v/>
      </c>
      <c r="AJ40" s="39" t="str">
        <f t="shared" si="10"/>
        <v/>
      </c>
      <c r="AK40" s="40" t="str">
        <f t="shared" si="10"/>
        <v/>
      </c>
    </row>
    <row r="41" spans="7:37">
      <c r="G41" s="38">
        <f t="shared" si="4"/>
        <v>2.5862068965517238</v>
      </c>
      <c r="H41" s="47" t="str">
        <f t="shared" si="8"/>
        <v/>
      </c>
      <c r="I41" s="39" t="str">
        <f t="shared" si="8"/>
        <v/>
      </c>
      <c r="J41" s="39" t="str">
        <f t="shared" si="8"/>
        <v/>
      </c>
      <c r="K41" s="39" t="str">
        <f t="shared" si="8"/>
        <v/>
      </c>
      <c r="L41" s="39" t="str">
        <f t="shared" si="8"/>
        <v/>
      </c>
      <c r="M41" s="39" t="str">
        <f t="shared" si="8"/>
        <v/>
      </c>
      <c r="N41" s="39" t="str">
        <f t="shared" si="8"/>
        <v/>
      </c>
      <c r="O41" s="39" t="str">
        <f t="shared" si="8"/>
        <v/>
      </c>
      <c r="P41" s="39" t="str">
        <f t="shared" si="8"/>
        <v/>
      </c>
      <c r="Q41" s="39" t="str">
        <f t="shared" si="8"/>
        <v/>
      </c>
      <c r="R41" s="39" t="str">
        <f t="shared" si="9"/>
        <v/>
      </c>
      <c r="S41" s="39" t="str">
        <f t="shared" si="9"/>
        <v/>
      </c>
      <c r="T41" s="39" t="str">
        <f t="shared" si="9"/>
        <v/>
      </c>
      <c r="U41" s="39" t="str">
        <f t="shared" si="9"/>
        <v/>
      </c>
      <c r="V41" s="39" t="str">
        <f t="shared" si="9"/>
        <v/>
      </c>
      <c r="W41" s="39" t="str">
        <f t="shared" si="9"/>
        <v/>
      </c>
      <c r="X41" s="39" t="str">
        <f t="shared" si="9"/>
        <v/>
      </c>
      <c r="Y41" s="39" t="str">
        <f t="shared" si="9"/>
        <v/>
      </c>
      <c r="Z41" s="39" t="str">
        <f t="shared" si="9"/>
        <v/>
      </c>
      <c r="AA41" s="39" t="str">
        <f t="shared" si="9"/>
        <v/>
      </c>
      <c r="AB41" s="39" t="str">
        <f t="shared" si="10"/>
        <v/>
      </c>
      <c r="AC41" s="39" t="str">
        <f t="shared" si="10"/>
        <v/>
      </c>
      <c r="AD41" s="39" t="str">
        <f t="shared" si="10"/>
        <v/>
      </c>
      <c r="AE41" s="39" t="str">
        <f t="shared" si="10"/>
        <v/>
      </c>
      <c r="AF41" s="39" t="str">
        <f t="shared" si="10"/>
        <v/>
      </c>
      <c r="AG41" s="39" t="str">
        <f t="shared" si="10"/>
        <v/>
      </c>
      <c r="AH41" s="39" t="str">
        <f t="shared" si="10"/>
        <v/>
      </c>
      <c r="AI41" s="39" t="str">
        <f t="shared" si="10"/>
        <v/>
      </c>
      <c r="AJ41" s="39" t="str">
        <f t="shared" si="10"/>
        <v/>
      </c>
      <c r="AK41" s="40" t="str">
        <f t="shared" si="10"/>
        <v/>
      </c>
    </row>
    <row r="42" spans="7:37">
      <c r="G42" s="38">
        <f t="shared" si="4"/>
        <v>2.7931034482758617</v>
      </c>
      <c r="H42" s="47" t="str">
        <f t="shared" si="8"/>
        <v/>
      </c>
      <c r="I42" s="39" t="str">
        <f t="shared" si="8"/>
        <v/>
      </c>
      <c r="J42" s="39" t="str">
        <f t="shared" si="8"/>
        <v/>
      </c>
      <c r="K42" s="39" t="str">
        <f t="shared" si="8"/>
        <v/>
      </c>
      <c r="L42" s="39" t="str">
        <f t="shared" si="8"/>
        <v/>
      </c>
      <c r="M42" s="39" t="str">
        <f t="shared" si="8"/>
        <v/>
      </c>
      <c r="N42" s="39" t="str">
        <f t="shared" si="8"/>
        <v/>
      </c>
      <c r="O42" s="39" t="str">
        <f t="shared" si="8"/>
        <v/>
      </c>
      <c r="P42" s="39" t="str">
        <f t="shared" si="8"/>
        <v/>
      </c>
      <c r="Q42" s="39" t="str">
        <f t="shared" si="8"/>
        <v/>
      </c>
      <c r="R42" s="39" t="str">
        <f t="shared" si="9"/>
        <v/>
      </c>
      <c r="S42" s="39" t="str">
        <f t="shared" si="9"/>
        <v/>
      </c>
      <c r="T42" s="39" t="str">
        <f t="shared" si="9"/>
        <v/>
      </c>
      <c r="U42" s="39" t="str">
        <f t="shared" si="9"/>
        <v/>
      </c>
      <c r="V42" s="39" t="str">
        <f t="shared" si="9"/>
        <v/>
      </c>
      <c r="W42" s="39" t="str">
        <f t="shared" si="9"/>
        <v/>
      </c>
      <c r="X42" s="39" t="str">
        <f t="shared" si="9"/>
        <v/>
      </c>
      <c r="Y42" s="39" t="str">
        <f t="shared" si="9"/>
        <v/>
      </c>
      <c r="Z42" s="39" t="str">
        <f t="shared" si="9"/>
        <v/>
      </c>
      <c r="AA42" s="39" t="str">
        <f t="shared" si="9"/>
        <v/>
      </c>
      <c r="AB42" s="39" t="str">
        <f t="shared" si="10"/>
        <v/>
      </c>
      <c r="AC42" s="39" t="str">
        <f t="shared" si="10"/>
        <v/>
      </c>
      <c r="AD42" s="39" t="str">
        <f t="shared" si="10"/>
        <v/>
      </c>
      <c r="AE42" s="39" t="str">
        <f t="shared" si="10"/>
        <v/>
      </c>
      <c r="AF42" s="39" t="str">
        <f t="shared" si="10"/>
        <v/>
      </c>
      <c r="AG42" s="39" t="str">
        <f t="shared" si="10"/>
        <v/>
      </c>
      <c r="AH42" s="39" t="str">
        <f t="shared" si="10"/>
        <v/>
      </c>
      <c r="AI42" s="39" t="str">
        <f t="shared" si="10"/>
        <v/>
      </c>
      <c r="AJ42" s="39" t="str">
        <f t="shared" si="10"/>
        <v/>
      </c>
      <c r="AK42" s="40" t="str">
        <f t="shared" si="10"/>
        <v/>
      </c>
    </row>
    <row r="43" spans="7:37">
      <c r="G43" s="41">
        <f t="shared" si="4"/>
        <v>2.9999999999999996</v>
      </c>
      <c r="H43" s="48" t="str">
        <f t="shared" si="8"/>
        <v/>
      </c>
      <c r="I43" s="42" t="str">
        <f t="shared" si="8"/>
        <v/>
      </c>
      <c r="J43" s="42" t="str">
        <f t="shared" si="8"/>
        <v/>
      </c>
      <c r="K43" s="42" t="str">
        <f t="shared" si="8"/>
        <v/>
      </c>
      <c r="L43" s="42" t="str">
        <f t="shared" si="8"/>
        <v/>
      </c>
      <c r="M43" s="42" t="str">
        <f t="shared" si="8"/>
        <v/>
      </c>
      <c r="N43" s="42" t="str">
        <f t="shared" si="8"/>
        <v/>
      </c>
      <c r="O43" s="42" t="str">
        <f t="shared" si="8"/>
        <v/>
      </c>
      <c r="P43" s="42" t="str">
        <f t="shared" si="8"/>
        <v/>
      </c>
      <c r="Q43" s="42" t="str">
        <f t="shared" si="8"/>
        <v/>
      </c>
      <c r="R43" s="42" t="str">
        <f t="shared" si="9"/>
        <v/>
      </c>
      <c r="S43" s="42" t="str">
        <f t="shared" si="9"/>
        <v/>
      </c>
      <c r="T43" s="42" t="str">
        <f t="shared" si="9"/>
        <v/>
      </c>
      <c r="U43" s="42" t="str">
        <f t="shared" si="9"/>
        <v/>
      </c>
      <c r="V43" s="42" t="str">
        <f t="shared" si="9"/>
        <v/>
      </c>
      <c r="W43" s="42" t="str">
        <f t="shared" si="9"/>
        <v/>
      </c>
      <c r="X43" s="42" t="str">
        <f t="shared" si="9"/>
        <v/>
      </c>
      <c r="Y43" s="42" t="str">
        <f t="shared" si="9"/>
        <v/>
      </c>
      <c r="Z43" s="42" t="str">
        <f t="shared" si="9"/>
        <v/>
      </c>
      <c r="AA43" s="42" t="str">
        <f t="shared" si="9"/>
        <v/>
      </c>
      <c r="AB43" s="42" t="str">
        <f t="shared" si="10"/>
        <v/>
      </c>
      <c r="AC43" s="42" t="str">
        <f t="shared" si="10"/>
        <v/>
      </c>
      <c r="AD43" s="42" t="str">
        <f t="shared" si="10"/>
        <v/>
      </c>
      <c r="AE43" s="42" t="str">
        <f t="shared" si="10"/>
        <v/>
      </c>
      <c r="AF43" s="42" t="str">
        <f t="shared" si="10"/>
        <v/>
      </c>
      <c r="AG43" s="42" t="str">
        <f t="shared" si="10"/>
        <v/>
      </c>
      <c r="AH43" s="42" t="str">
        <f t="shared" si="10"/>
        <v/>
      </c>
      <c r="AI43" s="42" t="str">
        <f t="shared" si="10"/>
        <v/>
      </c>
      <c r="AJ43" s="42" t="str">
        <f t="shared" si="10"/>
        <v/>
      </c>
      <c r="AK43" s="43" t="str">
        <f t="shared" si="10"/>
        <v/>
      </c>
    </row>
  </sheetData>
  <phoneticPr fontId="3"/>
  <pageMargins left="0.75" right="0.75" top="1" bottom="1" header="0.5" footer="0.5"/>
  <pageSetup paperSize="0" orientation="portrait" horizontalDpi="4294967292" verticalDpi="4294967292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Drop Down 2">
              <controlPr defaultSize="0" autoLine="0" autoPict="0">
                <anchor moveWithCells="1">
                  <from>
                    <xdr:col>1</xdr:col>
                    <xdr:colOff>171450</xdr:colOff>
                    <xdr:row>9</xdr:row>
                    <xdr:rowOff>95250</xdr:rowOff>
                  </from>
                  <to>
                    <xdr:col>1</xdr:col>
                    <xdr:colOff>971550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K49"/>
  <sheetViews>
    <sheetView showGridLines="0" zoomScaleNormal="100" workbookViewId="0">
      <selection activeCell="B3" sqref="B3"/>
    </sheetView>
  </sheetViews>
  <sheetFormatPr defaultRowHeight="12.75"/>
  <cols>
    <col min="1" max="1" width="4.125" customWidth="1"/>
    <col min="2" max="2" width="23.625" customWidth="1"/>
    <col min="3" max="3" width="11" customWidth="1"/>
    <col min="4" max="33" width="10.875" bestFit="1" customWidth="1"/>
    <col min="34" max="256" width="11" customWidth="1"/>
  </cols>
  <sheetData>
    <row r="1" spans="2:8" ht="15.75">
      <c r="B1" s="4" t="s">
        <v>17</v>
      </c>
    </row>
    <row r="4" spans="2:8">
      <c r="B4" s="12" t="s">
        <v>11</v>
      </c>
      <c r="C4" s="13" t="s">
        <v>12</v>
      </c>
      <c r="D4" s="14" t="s">
        <v>14</v>
      </c>
    </row>
    <row r="5" spans="2:8">
      <c r="B5" s="20">
        <v>0.5</v>
      </c>
      <c r="C5" s="21">
        <v>0.5</v>
      </c>
      <c r="D5" s="22">
        <v>0.8</v>
      </c>
      <c r="E5" s="3"/>
    </row>
    <row r="6" spans="2:8">
      <c r="B6" s="5" t="s">
        <v>22</v>
      </c>
      <c r="C6" s="15">
        <f>CBND3($B$5,$C$5,$D$5)</f>
        <v>0.60148535766899847</v>
      </c>
    </row>
    <row r="7" spans="2:8">
      <c r="B7" s="5" t="s">
        <v>30</v>
      </c>
      <c r="C7" s="16">
        <f>CBND2($B$5,$C$5,$D$5)</f>
        <v>0.60148360356178976</v>
      </c>
    </row>
    <row r="8" spans="2:8">
      <c r="B8" s="5" t="s">
        <v>34</v>
      </c>
      <c r="C8" s="16">
        <f>CBND4($B$5,$C$5,$D$5)</f>
        <v>0.60148537024290771</v>
      </c>
      <c r="D8" t="s">
        <v>33</v>
      </c>
    </row>
    <row r="9" spans="2:8">
      <c r="B9" s="5" t="s">
        <v>37</v>
      </c>
      <c r="C9" s="17">
        <f>CBND($B$5,$C$5,$D$5)</f>
        <v>0.60148536347669723</v>
      </c>
      <c r="G9" t="s">
        <v>32</v>
      </c>
    </row>
    <row r="10" spans="2:8">
      <c r="G10" s="49">
        <v>1</v>
      </c>
      <c r="H10" s="52">
        <v>4</v>
      </c>
    </row>
    <row r="11" spans="2:8">
      <c r="G11" s="50" t="s">
        <v>20</v>
      </c>
      <c r="H11" s="53" t="s">
        <v>18</v>
      </c>
    </row>
    <row r="12" spans="2:8">
      <c r="G12" s="51" t="s">
        <v>21</v>
      </c>
      <c r="H12" s="53" t="s">
        <v>31</v>
      </c>
    </row>
    <row r="13" spans="2:8">
      <c r="H13" s="53" t="s">
        <v>23</v>
      </c>
    </row>
    <row r="14" spans="2:8">
      <c r="H14" s="54" t="s">
        <v>19</v>
      </c>
    </row>
    <row r="16" spans="2:8">
      <c r="B16" s="10" t="s">
        <v>35</v>
      </c>
      <c r="C16" s="11">
        <v>1</v>
      </c>
    </row>
    <row r="19" spans="7:37">
      <c r="G19" s="35"/>
      <c r="H19" s="36">
        <f>-C16</f>
        <v>-1</v>
      </c>
      <c r="I19" s="36">
        <f>H19-($C$16*2)/29</f>
        <v>-1.0689655172413792</v>
      </c>
      <c r="J19" s="36">
        <f t="shared" ref="J19:AK19" si="0">I19-($C$16*2)/29</f>
        <v>-1.1379310344827585</v>
      </c>
      <c r="K19" s="36">
        <f t="shared" si="0"/>
        <v>-1.2068965517241377</v>
      </c>
      <c r="L19" s="36">
        <f t="shared" si="0"/>
        <v>-1.2758620689655169</v>
      </c>
      <c r="M19" s="36">
        <f t="shared" si="0"/>
        <v>-1.3448275862068961</v>
      </c>
      <c r="N19" s="36">
        <f t="shared" si="0"/>
        <v>-1.4137931034482754</v>
      </c>
      <c r="O19" s="36">
        <f t="shared" si="0"/>
        <v>-1.4827586206896546</v>
      </c>
      <c r="P19" s="36">
        <f t="shared" si="0"/>
        <v>-1.5517241379310338</v>
      </c>
      <c r="Q19" s="36">
        <f t="shared" si="0"/>
        <v>-1.620689655172413</v>
      </c>
      <c r="R19" s="36">
        <f t="shared" si="0"/>
        <v>-1.6896551724137923</v>
      </c>
      <c r="S19" s="36">
        <f t="shared" si="0"/>
        <v>-1.7586206896551715</v>
      </c>
      <c r="T19" s="36">
        <f t="shared" si="0"/>
        <v>-1.8275862068965507</v>
      </c>
      <c r="U19" s="36">
        <f t="shared" si="0"/>
        <v>-1.8965517241379299</v>
      </c>
      <c r="V19" s="36">
        <f t="shared" si="0"/>
        <v>-1.9655172413793092</v>
      </c>
      <c r="W19" s="36">
        <f t="shared" si="0"/>
        <v>-2.0344827586206886</v>
      </c>
      <c r="X19" s="36">
        <f t="shared" si="0"/>
        <v>-2.1034482758620681</v>
      </c>
      <c r="Y19" s="36">
        <f t="shared" si="0"/>
        <v>-2.1724137931034475</v>
      </c>
      <c r="Z19" s="36">
        <f t="shared" si="0"/>
        <v>-2.241379310344827</v>
      </c>
      <c r="AA19" s="36">
        <f t="shared" si="0"/>
        <v>-2.3103448275862064</v>
      </c>
      <c r="AB19" s="36">
        <f t="shared" si="0"/>
        <v>-2.3793103448275859</v>
      </c>
      <c r="AC19" s="36">
        <f t="shared" si="0"/>
        <v>-2.4482758620689653</v>
      </c>
      <c r="AD19" s="36">
        <f t="shared" si="0"/>
        <v>-2.5172413793103448</v>
      </c>
      <c r="AE19" s="36">
        <f t="shared" si="0"/>
        <v>-2.5862068965517242</v>
      </c>
      <c r="AF19" s="36">
        <f t="shared" si="0"/>
        <v>-2.6551724137931036</v>
      </c>
      <c r="AG19" s="36">
        <f t="shared" si="0"/>
        <v>-2.7241379310344831</v>
      </c>
      <c r="AH19" s="36">
        <f t="shared" si="0"/>
        <v>-2.7931034482758625</v>
      </c>
      <c r="AI19" s="36">
        <f t="shared" si="0"/>
        <v>-2.862068965517242</v>
      </c>
      <c r="AJ19" s="36">
        <f t="shared" si="0"/>
        <v>-2.9310344827586214</v>
      </c>
      <c r="AK19" s="37">
        <f t="shared" si="0"/>
        <v>-3.0000000000000009</v>
      </c>
    </row>
    <row r="20" spans="7:37">
      <c r="G20" s="38">
        <f>-C16</f>
        <v>-1</v>
      </c>
      <c r="H20" s="44">
        <f t="shared" ref="H20:Q29" si="1">IF($G$10=1,CBNDGeneral($H$10,$G20,H$19,$D$5),"")</f>
        <v>9.763651908155789E-2</v>
      </c>
      <c r="I20" s="45">
        <f t="shared" si="1"/>
        <v>9.1404962812945287E-2</v>
      </c>
      <c r="J20" s="45">
        <f t="shared" si="1"/>
        <v>8.5083425972770799E-2</v>
      </c>
      <c r="K20" s="45">
        <f t="shared" si="1"/>
        <v>7.8737405294107665E-2</v>
      </c>
      <c r="L20" s="45">
        <f t="shared" si="1"/>
        <v>7.2432179861804807E-2</v>
      </c>
      <c r="M20" s="45">
        <f t="shared" si="1"/>
        <v>6.6230757846396121E-2</v>
      </c>
      <c r="N20" s="45">
        <f t="shared" si="1"/>
        <v>6.0191991288600248E-2</v>
      </c>
      <c r="O20" s="45">
        <f t="shared" si="1"/>
        <v>5.4368951530930763E-2</v>
      </c>
      <c r="P20" s="45">
        <f t="shared" si="1"/>
        <v>4.8807635874588133E-2</v>
      </c>
      <c r="Q20" s="45">
        <f t="shared" si="1"/>
        <v>4.354605016985539E-2</v>
      </c>
      <c r="R20" s="45">
        <f t="shared" ref="R20:AA29" si="2">IF($G$10=1,CBNDGeneral($H$10,$G20,R$19,$D$5),"")</f>
        <v>3.8613684862606905E-2</v>
      </c>
      <c r="S20" s="45">
        <f t="shared" si="2"/>
        <v>3.4031375966911866E-2</v>
      </c>
      <c r="T20" s="45">
        <f t="shared" si="2"/>
        <v>2.9811519616103122E-2</v>
      </c>
      <c r="U20" s="45">
        <f t="shared" si="2"/>
        <v>2.5958590826297676E-2</v>
      </c>
      <c r="V20" s="45">
        <f t="shared" si="2"/>
        <v>2.2469904808259816E-2</v>
      </c>
      <c r="W20" s="45">
        <f t="shared" si="2"/>
        <v>1.9336552847608598E-2</v>
      </c>
      <c r="X20" s="45">
        <f t="shared" si="2"/>
        <v>1.6544444106063906E-2</v>
      </c>
      <c r="Y20" s="45">
        <f t="shared" si="2"/>
        <v>1.4075388872236401E-2</v>
      </c>
      <c r="Z20" s="45">
        <f t="shared" si="2"/>
        <v>1.190816669082286E-2</v>
      </c>
      <c r="AA20" s="45">
        <f t="shared" si="2"/>
        <v>1.001953316024152E-2</v>
      </c>
      <c r="AB20" s="45">
        <f t="shared" ref="AB20:AK29" si="3">IF($G$10=1,CBNDGeneral($H$10,$G20,AB$19,$D$5),"")</f>
        <v>8.3851307562953347E-3</v>
      </c>
      <c r="AC20" s="45">
        <f t="shared" si="3"/>
        <v>6.9802806925102186E-3</v>
      </c>
      <c r="AD20" s="45">
        <f t="shared" si="3"/>
        <v>5.7806436637001619E-3</v>
      </c>
      <c r="AE20" s="45">
        <f t="shared" si="3"/>
        <v>4.7627466965036794E-3</v>
      </c>
      <c r="AF20" s="45">
        <f t="shared" si="3"/>
        <v>3.9043808736091536E-3</v>
      </c>
      <c r="AG20" s="45">
        <f t="shared" si="3"/>
        <v>3.1848802727128022E-3</v>
      </c>
      <c r="AH20" s="45">
        <f t="shared" si="3"/>
        <v>2.585296128731636E-3</v>
      </c>
      <c r="AI20" s="45">
        <f t="shared" si="3"/>
        <v>2.0884821919135719E-3</v>
      </c>
      <c r="AJ20" s="45">
        <f t="shared" si="3"/>
        <v>1.6791078050515404E-3</v>
      </c>
      <c r="AK20" s="46">
        <f t="shared" si="3"/>
        <v>1.3436146865677871E-3</v>
      </c>
    </row>
    <row r="21" spans="7:37">
      <c r="G21" s="38">
        <f t="shared" ref="G21:G49" si="4">G20+($C$16*2)/29</f>
        <v>-0.93103448275862066</v>
      </c>
      <c r="H21" s="47">
        <f t="shared" si="1"/>
        <v>0.10371449327733835</v>
      </c>
      <c r="I21" s="39">
        <f t="shared" si="1"/>
        <v>9.6764056786082742E-2</v>
      </c>
      <c r="J21" s="39">
        <f t="shared" si="1"/>
        <v>8.9763311573015897E-2</v>
      </c>
      <c r="K21" s="39">
        <f t="shared" si="1"/>
        <v>8.2783972551924365E-2</v>
      </c>
      <c r="L21" s="39">
        <f t="shared" si="1"/>
        <v>7.589595503921473E-2</v>
      </c>
      <c r="M21" s="39">
        <f t="shared" si="1"/>
        <v>6.9165262441983802E-2</v>
      </c>
      <c r="N21" s="39">
        <f t="shared" si="1"/>
        <v>6.2652128951373245E-2</v>
      </c>
      <c r="O21" s="39">
        <f t="shared" si="1"/>
        <v>5.6409500674211556E-2</v>
      </c>
      <c r="P21" s="39">
        <f t="shared" si="1"/>
        <v>5.0481911666736289E-2</v>
      </c>
      <c r="Q21" s="39">
        <f t="shared" si="1"/>
        <v>4.4904782212556213E-2</v>
      </c>
      <c r="R21" s="39">
        <f t="shared" si="2"/>
        <v>3.9704138093205679E-2</v>
      </c>
      <c r="S21" s="39">
        <f t="shared" si="2"/>
        <v>3.4896723908496338E-2</v>
      </c>
      <c r="T21" s="39">
        <f t="shared" si="2"/>
        <v>3.0490462559368079E-2</v>
      </c>
      <c r="U21" s="39">
        <f t="shared" si="2"/>
        <v>2.6485197984298849E-2</v>
      </c>
      <c r="V21" s="39">
        <f t="shared" si="2"/>
        <v>2.2873649608993695E-2</v>
      </c>
      <c r="W21" s="39">
        <f t="shared" si="2"/>
        <v>1.9642504534446017E-2</v>
      </c>
      <c r="X21" s="39">
        <f t="shared" si="2"/>
        <v>1.6773576513736104E-2</v>
      </c>
      <c r="Y21" s="39">
        <f t="shared" si="2"/>
        <v>1.4244968135267251E-2</v>
      </c>
      <c r="Z21" s="39">
        <f t="shared" si="2"/>
        <v>1.2032183019475375E-2</v>
      </c>
      <c r="AA21" s="39">
        <f t="shared" si="2"/>
        <v>1.0109146895198245E-2</v>
      </c>
      <c r="AB21" s="39">
        <f t="shared" si="3"/>
        <v>8.449108908361716E-3</v>
      </c>
      <c r="AC21" s="39">
        <f t="shared" si="3"/>
        <v>7.0254063982084962E-3</v>
      </c>
      <c r="AD21" s="39">
        <f t="shared" si="3"/>
        <v>5.8120868921425223E-3</v>
      </c>
      <c r="AE21" s="39">
        <f t="shared" si="3"/>
        <v>4.7843897403527669E-3</v>
      </c>
      <c r="AF21" s="39">
        <f t="shared" si="3"/>
        <v>3.9190964216176283E-3</v>
      </c>
      <c r="AG21" s="39">
        <f t="shared" si="3"/>
        <v>3.1947631101724725E-3</v>
      </c>
      <c r="AH21" s="39">
        <f t="shared" si="3"/>
        <v>2.5918517748002899E-3</v>
      </c>
      <c r="AI21" s="39">
        <f t="shared" si="3"/>
        <v>2.0927771674781374E-3</v>
      </c>
      <c r="AJ21" s="39">
        <f t="shared" si="3"/>
        <v>1.6818868852238754E-3</v>
      </c>
      <c r="AK21" s="40">
        <f t="shared" si="3"/>
        <v>1.3453905987310672E-3</v>
      </c>
    </row>
    <row r="22" spans="7:37">
      <c r="G22" s="38">
        <f t="shared" si="4"/>
        <v>-0.86206896551724133</v>
      </c>
      <c r="H22" s="47">
        <f t="shared" si="1"/>
        <v>0.10957923534951433</v>
      </c>
      <c r="I22" s="39">
        <f t="shared" si="1"/>
        <v>0.10189551019493791</v>
      </c>
      <c r="J22" s="39">
        <f t="shared" si="1"/>
        <v>9.4209211541232449E-2</v>
      </c>
      <c r="K22" s="39">
        <f t="shared" si="1"/>
        <v>8.6597343874290827E-2</v>
      </c>
      <c r="L22" s="39">
        <f t="shared" si="1"/>
        <v>7.9133367292122697E-2</v>
      </c>
      <c r="M22" s="39">
        <f t="shared" si="1"/>
        <v>7.1885096963781925E-2</v>
      </c>
      <c r="N22" s="39">
        <f t="shared" si="1"/>
        <v>6.491294297413272E-2</v>
      </c>
      <c r="O22" s="39">
        <f t="shared" si="1"/>
        <v>5.8268559859037845E-2</v>
      </c>
      <c r="P22" s="39">
        <f t="shared" si="1"/>
        <v>5.1993944316078303E-2</v>
      </c>
      <c r="Q22" s="39">
        <f t="shared" si="1"/>
        <v>4.6120988558177069E-2</v>
      </c>
      <c r="R22" s="39">
        <f t="shared" si="2"/>
        <v>4.0671468207608738E-2</v>
      </c>
      <c r="S22" s="39">
        <f t="shared" si="2"/>
        <v>3.5657419640776941E-2</v>
      </c>
      <c r="T22" s="39">
        <f t="shared" si="2"/>
        <v>3.1081843742539465E-2</v>
      </c>
      <c r="U22" s="39">
        <f t="shared" si="2"/>
        <v>2.6939661813685824E-2</v>
      </c>
      <c r="V22" s="39">
        <f t="shared" si="2"/>
        <v>2.321884487349329E-2</v>
      </c>
      <c r="W22" s="39">
        <f t="shared" si="2"/>
        <v>1.9901639172533767E-2</v>
      </c>
      <c r="X22" s="39">
        <f t="shared" si="2"/>
        <v>1.6965817287429272E-2</v>
      </c>
      <c r="Y22" s="39">
        <f t="shared" si="2"/>
        <v>1.4385894351928935E-2</v>
      </c>
      <c r="Z22" s="39">
        <f t="shared" si="2"/>
        <v>1.2134261349618342E-2</v>
      </c>
      <c r="AA22" s="39">
        <f t="shared" si="2"/>
        <v>1.0182200593549027E-2</v>
      </c>
      <c r="AB22" s="39">
        <f t="shared" si="3"/>
        <v>8.5007613858610262E-3</v>
      </c>
      <c r="AC22" s="39">
        <f t="shared" si="3"/>
        <v>7.0614854956452203E-3</v>
      </c>
      <c r="AD22" s="39">
        <f t="shared" si="3"/>
        <v>5.836981923694997E-3</v>
      </c>
      <c r="AE22" s="39">
        <f t="shared" si="3"/>
        <v>4.8013581334846135E-3</v>
      </c>
      <c r="AF22" s="39">
        <f t="shared" si="3"/>
        <v>3.9305204617617372E-3</v>
      </c>
      <c r="AG22" s="39">
        <f t="shared" si="3"/>
        <v>3.2023599148196676E-3</v>
      </c>
      <c r="AH22" s="39">
        <f t="shared" si="3"/>
        <v>2.5968412735626889E-3</v>
      </c>
      <c r="AI22" s="39">
        <f t="shared" si="3"/>
        <v>2.0960137092333594E-3</v>
      </c>
      <c r="AJ22" s="39">
        <f t="shared" si="3"/>
        <v>1.6839603110022237E-3</v>
      </c>
      <c r="AK22" s="40">
        <f t="shared" si="3"/>
        <v>1.3467023888836477E-3</v>
      </c>
    </row>
    <row r="23" spans="7:37">
      <c r="G23" s="38">
        <f t="shared" si="4"/>
        <v>-0.79310344827586199</v>
      </c>
      <c r="H23" s="47">
        <f t="shared" si="1"/>
        <v>0.1151769312145622</v>
      </c>
      <c r="I23" s="39">
        <f t="shared" si="1"/>
        <v>0.10675501981821406</v>
      </c>
      <c r="J23" s="39">
        <f t="shared" si="1"/>
        <v>9.8385828985315782E-2</v>
      </c>
      <c r="K23" s="39">
        <f t="shared" si="1"/>
        <v>9.0150498051861747E-2</v>
      </c>
      <c r="L23" s="39">
        <f t="shared" si="1"/>
        <v>8.2124772686172035E-2</v>
      </c>
      <c r="M23" s="39">
        <f t="shared" si="1"/>
        <v>7.4376990332409229E-2</v>
      </c>
      <c r="N23" s="39">
        <f t="shared" si="1"/>
        <v>6.696648504994375E-2</v>
      </c>
      <c r="O23" s="39">
        <f t="shared" si="1"/>
        <v>5.9942462629174485E-2</v>
      </c>
      <c r="P23" s="39">
        <f t="shared" si="1"/>
        <v>5.334336361245183E-2</v>
      </c>
      <c r="Q23" s="39">
        <f t="shared" si="1"/>
        <v>4.7196700462325575E-2</v>
      </c>
      <c r="R23" s="39">
        <f t="shared" si="2"/>
        <v>4.1519328029760105E-2</v>
      </c>
      <c r="S23" s="39">
        <f t="shared" si="2"/>
        <v>3.6318085428650719E-2</v>
      </c>
      <c r="T23" s="39">
        <f t="shared" si="2"/>
        <v>3.1590733380141831E-2</v>
      </c>
      <c r="U23" s="39">
        <f t="shared" si="2"/>
        <v>2.7327104229064498E-2</v>
      </c>
      <c r="V23" s="39">
        <f t="shared" si="2"/>
        <v>2.3510381646052066E-2</v>
      </c>
      <c r="W23" s="39">
        <f t="shared" si="2"/>
        <v>2.011843247542076E-2</v>
      </c>
      <c r="X23" s="39">
        <f t="shared" si="2"/>
        <v>1.7125122899426363E-2</v>
      </c>
      <c r="Y23" s="39">
        <f t="shared" si="2"/>
        <v>1.4501563556442634E-2</v>
      </c>
      <c r="Z23" s="39">
        <f t="shared" si="2"/>
        <v>1.2217242006641099E-2</v>
      </c>
      <c r="AA23" s="39">
        <f t="shared" si="2"/>
        <v>1.0241014694443468E-2</v>
      </c>
      <c r="AB23" s="39">
        <f t="shared" si="3"/>
        <v>8.5419432904717957E-3</v>
      </c>
      <c r="AC23" s="39">
        <f t="shared" si="3"/>
        <v>7.0899712936891178E-3</v>
      </c>
      <c r="AD23" s="39">
        <f t="shared" si="3"/>
        <v>5.8564456307311054E-3</v>
      </c>
      <c r="AE23" s="39">
        <f t="shared" si="3"/>
        <v>4.8144945708938442E-3</v>
      </c>
      <c r="AF23" s="39">
        <f t="shared" si="3"/>
        <v>3.9392776670121093E-3</v>
      </c>
      <c r="AG23" s="39">
        <f t="shared" si="3"/>
        <v>3.2081258744026341E-3</v>
      </c>
      <c r="AH23" s="39">
        <f t="shared" si="3"/>
        <v>2.6005908239132426E-3</v>
      </c>
      <c r="AI23" s="39">
        <f t="shared" si="3"/>
        <v>2.0984217995169206E-3</v>
      </c>
      <c r="AJ23" s="39">
        <f t="shared" si="3"/>
        <v>1.6854876580969106E-3</v>
      </c>
      <c r="AK23" s="40">
        <f t="shared" si="3"/>
        <v>1.3476590551202805E-3</v>
      </c>
    </row>
    <row r="24" spans="7:37">
      <c r="G24" s="38">
        <f t="shared" si="4"/>
        <v>-0.72413793103448265</v>
      </c>
      <c r="H24" s="47">
        <f t="shared" si="1"/>
        <v>0.12046121099502011</v>
      </c>
      <c r="I24" s="39">
        <f t="shared" si="1"/>
        <v>0.11130591892202099</v>
      </c>
      <c r="J24" s="39">
        <f t="shared" si="1"/>
        <v>0.10226539894225486</v>
      </c>
      <c r="K24" s="39">
        <f t="shared" si="1"/>
        <v>9.342359136245687E-2</v>
      </c>
      <c r="L24" s="39">
        <f t="shared" si="1"/>
        <v>8.4857155004499446E-2</v>
      </c>
      <c r="M24" s="39">
        <f t="shared" si="1"/>
        <v>7.6633611636358998E-2</v>
      </c>
      <c r="N24" s="39">
        <f t="shared" si="1"/>
        <v>6.8809977964853358E-2</v>
      </c>
      <c r="O24" s="39">
        <f t="shared" si="1"/>
        <v>6.1431914378962726E-2</v>
      </c>
      <c r="P24" s="39">
        <f t="shared" si="1"/>
        <v>5.4533385565676988E-2</v>
      </c>
      <c r="Q24" s="39">
        <f t="shared" si="1"/>
        <v>4.8136797934165566E-2</v>
      </c>
      <c r="R24" s="39">
        <f t="shared" si="2"/>
        <v>4.2253554530818575E-2</v>
      </c>
      <c r="S24" s="39">
        <f t="shared" si="2"/>
        <v>3.6884951049325189E-2</v>
      </c>
      <c r="T24" s="39">
        <f t="shared" si="2"/>
        <v>3.2023327044875545E-2</v>
      </c>
      <c r="U24" s="39">
        <f t="shared" si="2"/>
        <v>2.7653384201678725E-2</v>
      </c>
      <c r="V24" s="39">
        <f t="shared" si="2"/>
        <v>2.3753587526172064E-2</v>
      </c>
      <c r="W24" s="39">
        <f t="shared" si="2"/>
        <v>2.0297574285340174E-2</v>
      </c>
      <c r="X24" s="39">
        <f t="shared" si="2"/>
        <v>1.7255507823057341E-2</v>
      </c>
      <c r="Y24" s="39">
        <f t="shared" si="2"/>
        <v>1.4595327504513667E-2</v>
      </c>
      <c r="Z24" s="39">
        <f t="shared" si="2"/>
        <v>1.2283860547320309E-2</v>
      </c>
      <c r="AA24" s="39">
        <f t="shared" si="2"/>
        <v>1.0287775243516843E-2</v>
      </c>
      <c r="AB24" s="39">
        <f t="shared" si="3"/>
        <v>8.5743672192578543E-3</v>
      </c>
      <c r="AC24" s="39">
        <f t="shared" si="3"/>
        <v>7.112180401947622E-3</v>
      </c>
      <c r="AD24" s="39">
        <f t="shared" si="3"/>
        <v>5.8714720478465123E-3</v>
      </c>
      <c r="AE24" s="39">
        <f t="shared" si="3"/>
        <v>4.8245365507516942E-3</v>
      </c>
      <c r="AF24" s="39">
        <f t="shared" si="3"/>
        <v>3.9459060081097853E-3</v>
      </c>
      <c r="AG24" s="39">
        <f t="shared" si="3"/>
        <v>3.2124469824175231E-3</v>
      </c>
      <c r="AH24" s="39">
        <f t="shared" si="3"/>
        <v>2.6033729346313758E-3</v>
      </c>
      <c r="AI24" s="39">
        <f t="shared" si="3"/>
        <v>2.1001907999679023E-3</v>
      </c>
      <c r="AJ24" s="39">
        <f t="shared" si="3"/>
        <v>1.6865984734507353E-3</v>
      </c>
      <c r="AK24" s="40">
        <f t="shared" si="3"/>
        <v>1.3483478710714797E-3</v>
      </c>
    </row>
    <row r="25" spans="7:37">
      <c r="G25" s="38">
        <f t="shared" si="4"/>
        <v>-0.65517241379310331</v>
      </c>
      <c r="H25" s="47">
        <f t="shared" si="1"/>
        <v>0.12539439528983445</v>
      </c>
      <c r="I25" s="39">
        <f t="shared" si="1"/>
        <v>0.1155200425731686</v>
      </c>
      <c r="J25" s="39">
        <f t="shared" si="1"/>
        <v>0.1058282071034802</v>
      </c>
      <c r="K25" s="39">
        <f t="shared" si="1"/>
        <v>9.6404175887359195E-2</v>
      </c>
      <c r="L25" s="39">
        <f t="shared" si="1"/>
        <v>8.7324097214746543E-2</v>
      </c>
      <c r="M25" s="39">
        <f t="shared" si="1"/>
        <v>7.8653351275530178E-2</v>
      </c>
      <c r="N25" s="39">
        <f t="shared" si="1"/>
        <v>7.0445461900023251E-2</v>
      </c>
      <c r="O25" s="39">
        <f t="shared" si="1"/>
        <v>6.274155494574217E-2</v>
      </c>
      <c r="P25" s="39">
        <f t="shared" si="1"/>
        <v>5.5570335649693839E-2</v>
      </c>
      <c r="Q25" s="39">
        <f t="shared" si="1"/>
        <v>4.8948529755676651E-2</v>
      </c>
      <c r="R25" s="39">
        <f t="shared" si="2"/>
        <v>4.2881712951640949E-2</v>
      </c>
      <c r="S25" s="39">
        <f t="shared" si="2"/>
        <v>3.7365440778389734E-2</v>
      </c>
      <c r="T25" s="39">
        <f t="shared" si="2"/>
        <v>3.2386586542181024E-2</v>
      </c>
      <c r="U25" s="39">
        <f t="shared" si="2"/>
        <v>2.7924797044988622E-2</v>
      </c>
      <c r="V25" s="39">
        <f t="shared" si="2"/>
        <v>2.3953983819163215E-2</v>
      </c>
      <c r="W25" s="39">
        <f t="shared" si="2"/>
        <v>2.0443779434318618E-2</v>
      </c>
      <c r="X25" s="39">
        <f t="shared" si="2"/>
        <v>1.7360902691736263E-2</v>
      </c>
      <c r="Y25" s="39">
        <f t="shared" si="2"/>
        <v>1.4670391609594729E-2</v>
      </c>
      <c r="Z25" s="39">
        <f t="shared" si="2"/>
        <v>1.2336677746624874E-2</v>
      </c>
      <c r="AA25" s="39">
        <f t="shared" si="2"/>
        <v>1.0324488642080841E-2</v>
      </c>
      <c r="AB25" s="39">
        <f t="shared" si="3"/>
        <v>8.5995763321131194E-3</v>
      </c>
      <c r="AC25" s="39">
        <f t="shared" si="3"/>
        <v>7.129278719822333E-3</v>
      </c>
      <c r="AD25" s="39">
        <f t="shared" si="3"/>
        <v>5.8829269807289036E-3</v>
      </c>
      <c r="AE25" s="39">
        <f t="shared" si="3"/>
        <v>4.8321163345044918E-3</v>
      </c>
      <c r="AF25" s="39">
        <f t="shared" si="3"/>
        <v>3.9508597016325083E-3</v>
      </c>
      <c r="AG25" s="39">
        <f t="shared" si="3"/>
        <v>3.2156443571594072E-3</v>
      </c>
      <c r="AH25" s="39">
        <f t="shared" si="3"/>
        <v>2.6054110796179283E-3</v>
      </c>
      <c r="AI25" s="39">
        <f t="shared" si="3"/>
        <v>2.101473838532794E-3</v>
      </c>
      <c r="AJ25" s="39">
        <f t="shared" si="3"/>
        <v>1.687396090221456E-3</v>
      </c>
      <c r="AK25" s="40">
        <f t="shared" si="3"/>
        <v>1.3488375217958425E-3</v>
      </c>
    </row>
    <row r="26" spans="7:37">
      <c r="G26" s="38">
        <f t="shared" si="4"/>
        <v>-0.58620689655172398</v>
      </c>
      <c r="H26" s="47">
        <f t="shared" si="1"/>
        <v>0.12994831939085885</v>
      </c>
      <c r="I26" s="39">
        <f t="shared" si="1"/>
        <v>0.11937818319102332</v>
      </c>
      <c r="J26" s="39">
        <f t="shared" si="1"/>
        <v>0.10906272798767919</v>
      </c>
      <c r="K26" s="39">
        <f t="shared" si="1"/>
        <v>9.9087079163741806E-2</v>
      </c>
      <c r="L26" s="39">
        <f t="shared" si="1"/>
        <v>8.9525464306761199E-2</v>
      </c>
      <c r="M26" s="39">
        <f t="shared" si="1"/>
        <v>8.0439867246701172E-2</v>
      </c>
      <c r="N26" s="39">
        <f t="shared" si="1"/>
        <v>7.1879259450733618E-2</v>
      </c>
      <c r="O26" s="39">
        <f t="shared" si="1"/>
        <v>6.3879390093383559E-2</v>
      </c>
      <c r="P26" s="39">
        <f t="shared" si="1"/>
        <v>5.6463085376370105E-2</v>
      </c>
      <c r="Q26" s="39">
        <f t="shared" si="1"/>
        <v>4.9640984099800195E-2</v>
      </c>
      <c r="R26" s="39">
        <f t="shared" si="2"/>
        <v>4.341262103056031E-2</v>
      </c>
      <c r="S26" s="39">
        <f t="shared" si="2"/>
        <v>3.7767762341491817E-2</v>
      </c>
      <c r="T26" s="39">
        <f t="shared" si="2"/>
        <v>3.2687897620474027E-2</v>
      </c>
      <c r="U26" s="39">
        <f t="shared" si="2"/>
        <v>2.8147799425950401E-2</v>
      </c>
      <c r="V26" s="39">
        <f t="shared" si="2"/>
        <v>2.4117072511512218E-2</v>
      </c>
      <c r="W26" s="39">
        <f t="shared" si="2"/>
        <v>2.0561628956716704E-2</v>
      </c>
      <c r="X26" s="39">
        <f t="shared" si="2"/>
        <v>1.744504089815882E-2</v>
      </c>
      <c r="Y26" s="39">
        <f t="shared" si="2"/>
        <v>1.4729737945799945E-2</v>
      </c>
      <c r="Z26" s="39">
        <f t="shared" si="2"/>
        <v>1.2378030594148446E-2</v>
      </c>
      <c r="AA26" s="39">
        <f t="shared" si="2"/>
        <v>1.0352953239402581E-2</v>
      </c>
      <c r="AB26" s="39">
        <f t="shared" si="3"/>
        <v>8.6189303701922956E-3</v>
      </c>
      <c r="AC26" s="39">
        <f t="shared" si="3"/>
        <v>7.1422769815731504E-3</v>
      </c>
      <c r="AD26" s="39">
        <f t="shared" si="3"/>
        <v>5.8915493699695605E-3</v>
      </c>
      <c r="AE26" s="39">
        <f t="shared" si="3"/>
        <v>4.8377654616227625E-3</v>
      </c>
      <c r="AF26" s="39">
        <f t="shared" si="3"/>
        <v>3.9545150626196911E-3</v>
      </c>
      <c r="AG26" s="39">
        <f t="shared" si="3"/>
        <v>3.217980284046931E-3</v>
      </c>
      <c r="AH26" s="39">
        <f t="shared" si="3"/>
        <v>2.6068852716440325E-3</v>
      </c>
      <c r="AI26" s="39">
        <f t="shared" si="3"/>
        <v>2.1023925970385894E-3</v>
      </c>
      <c r="AJ26" s="39">
        <f t="shared" si="3"/>
        <v>1.6879615330011031E-3</v>
      </c>
      <c r="AK26" s="40">
        <f t="shared" si="3"/>
        <v>1.3491811621426555E-3</v>
      </c>
    </row>
    <row r="27" spans="7:37">
      <c r="G27" s="38">
        <f t="shared" si="4"/>
        <v>-0.51724137931034464</v>
      </c>
      <c r="H27" s="47">
        <f t="shared" si="1"/>
        <v>0.13410470528257618</v>
      </c>
      <c r="I27" s="39">
        <f t="shared" si="1"/>
        <v>0.1228701298779479</v>
      </c>
      <c r="J27" s="39">
        <f t="shared" si="1"/>
        <v>0.11196539585721688</v>
      </c>
      <c r="K27" s="39">
        <f t="shared" si="1"/>
        <v>0.10147397362709629</v>
      </c>
      <c r="L27" s="39">
        <f t="shared" si="1"/>
        <v>9.1466836317499689E-2</v>
      </c>
      <c r="M27" s="39">
        <f t="shared" si="1"/>
        <v>8.2001441165678327E-2</v>
      </c>
      <c r="N27" s="39">
        <f t="shared" si="1"/>
        <v>7.3121305685398291E-2</v>
      </c>
      <c r="O27" s="39">
        <f t="shared" si="1"/>
        <v>6.485613664280919E-2</v>
      </c>
      <c r="P27" s="39">
        <f t="shared" si="1"/>
        <v>5.722244295594564E-2</v>
      </c>
      <c r="Q27" s="39">
        <f t="shared" si="1"/>
        <v>5.0224544946627751E-2</v>
      </c>
      <c r="R27" s="39">
        <f t="shared" si="2"/>
        <v>4.385588221801974E-2</v>
      </c>
      <c r="S27" s="39">
        <f t="shared" si="2"/>
        <v>3.8100520303666681E-2</v>
      </c>
      <c r="T27" s="39">
        <f t="shared" si="2"/>
        <v>3.2934760993044883E-2</v>
      </c>
      <c r="U27" s="39">
        <f t="shared" si="2"/>
        <v>2.832877133122878E-2</v>
      </c>
      <c r="V27" s="39">
        <f t="shared" si="2"/>
        <v>2.4248159981513865E-2</v>
      </c>
      <c r="W27" s="39">
        <f t="shared" si="2"/>
        <v>2.0655445220324985E-2</v>
      </c>
      <c r="X27" s="39">
        <f t="shared" si="2"/>
        <v>1.7511374781422038E-2</v>
      </c>
      <c r="Y27" s="39">
        <f t="shared" si="2"/>
        <v>1.4776072853791275E-2</v>
      </c>
      <c r="Z27" s="39">
        <f t="shared" si="2"/>
        <v>1.2410002883155222E-2</v>
      </c>
      <c r="AA27" s="39">
        <f t="shared" si="2"/>
        <v>1.0374745897528887E-2</v>
      </c>
      <c r="AB27" s="39">
        <f t="shared" si="3"/>
        <v>8.633602652568453E-3</v>
      </c>
      <c r="AC27" s="39">
        <f t="shared" si="3"/>
        <v>7.1520340063720989E-3</v>
      </c>
      <c r="AD27" s="39">
        <f t="shared" si="3"/>
        <v>5.8979578035567989E-3</v>
      </c>
      <c r="AE27" s="39">
        <f t="shared" si="3"/>
        <v>4.8419225066063786E-3</v>
      </c>
      <c r="AF27" s="39">
        <f t="shared" si="3"/>
        <v>3.9571782428938669E-3</v>
      </c>
      <c r="AG27" s="39">
        <f t="shared" si="3"/>
        <v>3.2196652262929918E-3</v>
      </c>
      <c r="AH27" s="39">
        <f t="shared" si="3"/>
        <v>2.6079380200204065E-3</v>
      </c>
      <c r="AI27" s="39">
        <f t="shared" si="3"/>
        <v>2.1030421380292402E-3</v>
      </c>
      <c r="AJ27" s="39">
        <f t="shared" si="3"/>
        <v>1.6883572812883244E-3</v>
      </c>
      <c r="AK27" s="40">
        <f t="shared" si="3"/>
        <v>1.3494192574315534E-3</v>
      </c>
    </row>
    <row r="28" spans="7:37">
      <c r="G28" s="38">
        <f t="shared" si="4"/>
        <v>-0.4482758620689653</v>
      </c>
      <c r="H28" s="47">
        <f t="shared" si="1"/>
        <v>0.13785508268061109</v>
      </c>
      <c r="I28" s="39">
        <f t="shared" si="1"/>
        <v>0.12599431324638313</v>
      </c>
      <c r="J28" s="39">
        <f t="shared" si="1"/>
        <v>0.11454004550431045</v>
      </c>
      <c r="K28" s="39">
        <f t="shared" si="1"/>
        <v>0.10357268316414547</v>
      </c>
      <c r="L28" s="39">
        <f t="shared" si="1"/>
        <v>9.315874411743201E-2</v>
      </c>
      <c r="M28" s="39">
        <f t="shared" si="1"/>
        <v>8.3350197528541323E-2</v>
      </c>
      <c r="N28" s="39">
        <f t="shared" si="1"/>
        <v>7.4184394192801845E-2</v>
      </c>
      <c r="O28" s="39">
        <f t="shared" si="1"/>
        <v>6.5684527114785146E-2</v>
      </c>
      <c r="P28" s="39">
        <f t="shared" si="1"/>
        <v>5.7860537252810214E-2</v>
      </c>
      <c r="Q28" s="39">
        <f t="shared" si="1"/>
        <v>5.0710366144312159E-2</v>
      </c>
      <c r="R28" s="39">
        <f t="shared" si="2"/>
        <v>4.4221452377393028E-2</v>
      </c>
      <c r="S28" s="39">
        <f t="shared" si="2"/>
        <v>3.8372371602262631E-2</v>
      </c>
      <c r="T28" s="39">
        <f t="shared" si="2"/>
        <v>3.3134528490228944E-2</v>
      </c>
      <c r="U28" s="39">
        <f t="shared" si="2"/>
        <v>2.8473822005270936E-2</v>
      </c>
      <c r="V28" s="39">
        <f t="shared" si="2"/>
        <v>2.4352220782243233E-2</v>
      </c>
      <c r="W28" s="39">
        <f t="shared" si="2"/>
        <v>2.0729201684293184E-2</v>
      </c>
      <c r="X28" s="39">
        <f t="shared" si="2"/>
        <v>1.7563020392591212E-2</v>
      </c>
      <c r="Y28" s="39">
        <f t="shared" si="2"/>
        <v>1.4811797158499628E-2</v>
      </c>
      <c r="Z28" s="39">
        <f t="shared" si="2"/>
        <v>1.2434412973424815E-2</v>
      </c>
      <c r="AA28" s="39">
        <f t="shared" si="2"/>
        <v>1.039122106691823E-2</v>
      </c>
      <c r="AB28" s="39">
        <f t="shared" si="3"/>
        <v>8.6445857871246881E-3</v>
      </c>
      <c r="AC28" s="39">
        <f t="shared" si="3"/>
        <v>7.159265714370781E-3</v>
      </c>
      <c r="AD28" s="39">
        <f t="shared" si="3"/>
        <v>5.9026606090132978E-3</v>
      </c>
      <c r="AE28" s="39">
        <f t="shared" si="3"/>
        <v>4.8449428696350511E-3</v>
      </c>
      <c r="AF28" s="39">
        <f t="shared" si="3"/>
        <v>3.9590939658330059E-3</v>
      </c>
      <c r="AG28" s="39">
        <f t="shared" si="3"/>
        <v>3.2208651786346811E-3</v>
      </c>
      <c r="AH28" s="39">
        <f t="shared" si="3"/>
        <v>2.6086802529109864E-3</v>
      </c>
      <c r="AI28" s="39">
        <f t="shared" si="3"/>
        <v>2.1034955043145037E-3</v>
      </c>
      <c r="AJ28" s="39">
        <f t="shared" si="3"/>
        <v>1.6886307324145569E-3</v>
      </c>
      <c r="AK28" s="40">
        <f t="shared" si="3"/>
        <v>1.3495821198913531E-3</v>
      </c>
    </row>
    <row r="29" spans="7:37">
      <c r="G29" s="38">
        <f t="shared" si="4"/>
        <v>-0.37931034482758597</v>
      </c>
      <c r="H29" s="47">
        <f t="shared" si="1"/>
        <v>0.1412002903728162</v>
      </c>
      <c r="I29" s="39">
        <f t="shared" si="1"/>
        <v>0.12875710247770061</v>
      </c>
      <c r="J29" s="39">
        <f t="shared" si="1"/>
        <v>0.11679707948433428</v>
      </c>
      <c r="K29" s="39">
        <f t="shared" si="1"/>
        <v>0.10539628790829431</v>
      </c>
      <c r="L29" s="39">
        <f t="shared" si="1"/>
        <v>9.4615769057356316E-2</v>
      </c>
      <c r="M29" s="39">
        <f t="shared" si="1"/>
        <v>8.4501243626141295E-2</v>
      </c>
      <c r="N29" s="39">
        <f t="shared" si="1"/>
        <v>7.5083390241057271E-2</v>
      </c>
      <c r="O29" s="39">
        <f t="shared" si="1"/>
        <v>6.6378617150632105E-2</v>
      </c>
      <c r="P29" s="39">
        <f t="shared" si="1"/>
        <v>5.8390229814831912E-2</v>
      </c>
      <c r="Q29" s="39">
        <f t="shared" si="1"/>
        <v>5.1109889547521693E-2</v>
      </c>
      <c r="R29" s="39">
        <f t="shared" si="2"/>
        <v>4.4519258773094247E-2</v>
      </c>
      <c r="S29" s="39">
        <f t="shared" si="2"/>
        <v>3.8591735472647479E-2</v>
      </c>
      <c r="T29" s="39">
        <f t="shared" si="2"/>
        <v>3.3294191296711302E-2</v>
      </c>
      <c r="U29" s="39">
        <f t="shared" si="2"/>
        <v>2.858864280045726E-2</v>
      </c>
      <c r="V29" s="39">
        <f t="shared" si="2"/>
        <v>2.4433801608976086E-2</v>
      </c>
      <c r="W29" s="39">
        <f t="shared" si="2"/>
        <v>2.0786465587735881E-2</v>
      </c>
      <c r="X29" s="39">
        <f t="shared" si="2"/>
        <v>1.7602728151576475E-2</v>
      </c>
      <c r="Y29" s="39">
        <f t="shared" si="2"/>
        <v>1.4838995929883516E-2</v>
      </c>
      <c r="Z29" s="39">
        <f t="shared" si="2"/>
        <v>1.2452815695200885E-2</v>
      </c>
      <c r="AA29" s="39">
        <f t="shared" si="2"/>
        <v>1.0403519632110416E-2</v>
      </c>
      <c r="AB29" s="39">
        <f t="shared" si="3"/>
        <v>8.6527037761080158E-3</v>
      </c>
      <c r="AC29" s="39">
        <f t="shared" si="3"/>
        <v>7.1645580485640986E-3</v>
      </c>
      <c r="AD29" s="39">
        <f t="shared" si="3"/>
        <v>5.9060681030053633E-3</v>
      </c>
      <c r="AE29" s="39">
        <f t="shared" si="3"/>
        <v>4.8471095617566217E-3</v>
      </c>
      <c r="AF29" s="39">
        <f t="shared" si="3"/>
        <v>3.9604545321779696E-3</v>
      </c>
      <c r="AG29" s="39">
        <f t="shared" si="3"/>
        <v>3.2217088817490078E-3</v>
      </c>
      <c r="AH29" s="39">
        <f t="shared" si="3"/>
        <v>2.6091969009275199E-3</v>
      </c>
      <c r="AI29" s="39">
        <f t="shared" si="3"/>
        <v>2.1038079133390629E-3</v>
      </c>
      <c r="AJ29" s="39">
        <f t="shared" si="3"/>
        <v>1.6888172695243011E-3</v>
      </c>
      <c r="AK29" s="40">
        <f t="shared" si="3"/>
        <v>1.349692098846019E-3</v>
      </c>
    </row>
    <row r="30" spans="7:37">
      <c r="G30" s="38">
        <f t="shared" si="4"/>
        <v>-0.31034482758620663</v>
      </c>
      <c r="H30" s="47">
        <f t="shared" ref="H30:Q39" si="5">IF($G$10=1,CBNDGeneral($H$10,$G30,H$19,$D$5),"")</f>
        <v>0.14414961507096022</v>
      </c>
      <c r="I30" s="39">
        <f t="shared" si="5"/>
        <v>0.13117182111509529</v>
      </c>
      <c r="J30" s="39">
        <f t="shared" si="5"/>
        <v>0.11875243197262864</v>
      </c>
      <c r="K30" s="39">
        <f t="shared" si="5"/>
        <v>0.10696209629668683</v>
      </c>
      <c r="L30" s="39">
        <f t="shared" si="5"/>
        <v>9.5855570537840759E-2</v>
      </c>
      <c r="M30" s="39">
        <f t="shared" si="5"/>
        <v>8.5471786557032955E-2</v>
      </c>
      <c r="N30" s="39">
        <f t="shared" si="5"/>
        <v>7.5834458339068822E-2</v>
      </c>
      <c r="O30" s="39">
        <f t="shared" si="5"/>
        <v>6.6953133316330612E-2</v>
      </c>
      <c r="P30" s="39">
        <f t="shared" si="5"/>
        <v>5.8824583187185149E-2</v>
      </c>
      <c r="Q30" s="39">
        <f t="shared" si="5"/>
        <v>5.1434426942499591E-2</v>
      </c>
      <c r="R30" s="39">
        <f t="shared" ref="R30:AA39" si="6">IF($G$10=1,CBNDGeneral($H$10,$G30,R$19,$D$5),"")</f>
        <v>4.4758883823287396E-2</v>
      </c>
      <c r="S30" s="39">
        <f t="shared" si="6"/>
        <v>3.8766564455396092E-2</v>
      </c>
      <c r="T30" s="39">
        <f t="shared" si="6"/>
        <v>3.3420222622090996E-2</v>
      </c>
      <c r="U30" s="39">
        <f t="shared" si="6"/>
        <v>2.8678406276402547E-2</v>
      </c>
      <c r="V30" s="39">
        <f t="shared" si="6"/>
        <v>2.4496962910431373E-2</v>
      </c>
      <c r="W30" s="39">
        <f t="shared" si="6"/>
        <v>2.083037005145863E-2</v>
      </c>
      <c r="X30" s="39">
        <f t="shared" si="6"/>
        <v>1.7632875565808868E-2</v>
      </c>
      <c r="Y30" s="39">
        <f t="shared" si="6"/>
        <v>1.4859444094856435E-2</v>
      </c>
      <c r="Z30" s="39">
        <f t="shared" si="6"/>
        <v>1.2466515108798438E-2</v>
      </c>
      <c r="AA30" s="39">
        <f t="shared" si="6"/>
        <v>1.0412584776896938E-2</v>
      </c>
      <c r="AB30" s="39">
        <f t="shared" ref="AB30:AK39" si="7">IF($G$10=1,CBNDGeneral($H$10,$G30,AB$19,$D$5),"")</f>
        <v>8.6586283290867698E-3</v>
      </c>
      <c r="AC30" s="39">
        <f t="shared" si="7"/>
        <v>7.1683821423883295E-3</v>
      </c>
      <c r="AD30" s="39">
        <f t="shared" si="7"/>
        <v>5.9085057939286603E-3</v>
      </c>
      <c r="AE30" s="39">
        <f t="shared" si="7"/>
        <v>4.8486441499770855E-3</v>
      </c>
      <c r="AF30" s="39">
        <f t="shared" si="7"/>
        <v>3.9614085467943195E-3</v>
      </c>
      <c r="AG30" s="39">
        <f t="shared" si="7"/>
        <v>3.2222945555142597E-3</v>
      </c>
      <c r="AH30" s="39">
        <f t="shared" si="7"/>
        <v>2.6095519451496425E-3</v>
      </c>
      <c r="AI30" s="39">
        <f t="shared" si="7"/>
        <v>2.104020445232834E-3</v>
      </c>
      <c r="AJ30" s="39">
        <f t="shared" si="7"/>
        <v>1.6889428928943977E-3</v>
      </c>
      <c r="AK30" s="40">
        <f t="shared" si="7"/>
        <v>1.349765417030936E-3</v>
      </c>
    </row>
    <row r="31" spans="7:37">
      <c r="G31" s="38">
        <f t="shared" si="4"/>
        <v>-0.24137931034482732</v>
      </c>
      <c r="H31" s="47">
        <f t="shared" si="5"/>
        <v>0.14671964475447716</v>
      </c>
      <c r="I31" s="39">
        <f t="shared" si="5"/>
        <v>0.13325756118143009</v>
      </c>
      <c r="J31" s="39">
        <f t="shared" si="5"/>
        <v>0.12042640639343952</v>
      </c>
      <c r="K31" s="39">
        <f t="shared" si="5"/>
        <v>0.10829055517281586</v>
      </c>
      <c r="L31" s="39">
        <f t="shared" si="5"/>
        <v>9.6897903231764546E-2</v>
      </c>
      <c r="M31" s="39">
        <f t="shared" si="5"/>
        <v>8.628027853346952E-2</v>
      </c>
      <c r="N31" s="39">
        <f t="shared" si="5"/>
        <v>7.6454344450764641E-2</v>
      </c>
      <c r="O31" s="39">
        <f t="shared" si="5"/>
        <v>6.7422891057006273E-2</v>
      </c>
      <c r="P31" s="39">
        <f t="shared" si="5"/>
        <v>5.9176405884827157E-2</v>
      </c>
      <c r="Q31" s="39">
        <f t="shared" si="5"/>
        <v>5.1694818216282606E-2</v>
      </c>
      <c r="R31" s="39">
        <f t="shared" si="6"/>
        <v>4.4949319799377677E-2</v>
      </c>
      <c r="S31" s="39">
        <f t="shared" si="6"/>
        <v>3.8904178017481333E-2</v>
      </c>
      <c r="T31" s="39">
        <f t="shared" si="6"/>
        <v>3.3518473166343418E-2</v>
      </c>
      <c r="U31" s="39">
        <f t="shared" si="6"/>
        <v>2.874770798956006E-2</v>
      </c>
      <c r="V31" s="39">
        <f t="shared" si="6"/>
        <v>2.4545253649974341E-2</v>
      </c>
      <c r="W31" s="39">
        <f t="shared" si="6"/>
        <v>2.0863610883925854E-2</v>
      </c>
      <c r="X31" s="39">
        <f t="shared" si="6"/>
        <v>1.7655477566257117E-2</v>
      </c>
      <c r="Y31" s="39">
        <f t="shared" si="6"/>
        <v>1.4874623999205101E-2</v>
      </c>
      <c r="Z31" s="39">
        <f t="shared" si="6"/>
        <v>1.247658488632092E-2</v>
      </c>
      <c r="AA31" s="39">
        <f t="shared" si="6"/>
        <v>1.0419182318188561E-2</v>
      </c>
      <c r="AB31" s="39">
        <f t="shared" si="7"/>
        <v>8.6628974610774984E-3</v>
      </c>
      <c r="AC31" s="39">
        <f t="shared" si="7"/>
        <v>7.1711103481154129E-3</v>
      </c>
      <c r="AD31" s="39">
        <f t="shared" si="7"/>
        <v>5.9102275852246618E-3</v>
      </c>
      <c r="AE31" s="39">
        <f t="shared" si="7"/>
        <v>4.8497172406499981E-3</v>
      </c>
      <c r="AF31" s="39">
        <f t="shared" si="7"/>
        <v>3.962068985204392E-3</v>
      </c>
      <c r="AG31" s="39">
        <f t="shared" si="7"/>
        <v>3.2226959361690462E-3</v>
      </c>
      <c r="AH31" s="39">
        <f t="shared" si="7"/>
        <v>2.6097928234486765E-3</v>
      </c>
      <c r="AI31" s="39">
        <f t="shared" si="7"/>
        <v>2.1041631852016067E-3</v>
      </c>
      <c r="AJ31" s="39">
        <f t="shared" si="7"/>
        <v>1.6890264128700107E-3</v>
      </c>
      <c r="AK31" s="40">
        <f t="shared" si="7"/>
        <v>1.3498136698479916E-3</v>
      </c>
    </row>
    <row r="32" spans="7:37">
      <c r="G32" s="38">
        <f t="shared" si="4"/>
        <v>-0.17241379310344801</v>
      </c>
      <c r="H32" s="47">
        <f t="shared" si="5"/>
        <v>0.14893292574179698</v>
      </c>
      <c r="I32" s="39">
        <f t="shared" si="5"/>
        <v>0.13503788097584896</v>
      </c>
      <c r="J32" s="39">
        <f t="shared" si="5"/>
        <v>0.12184246427641594</v>
      </c>
      <c r="K32" s="39">
        <f t="shared" si="5"/>
        <v>0.10940416480237451</v>
      </c>
      <c r="L32" s="39">
        <f t="shared" si="5"/>
        <v>9.776367883903872E-2</v>
      </c>
      <c r="M32" s="39">
        <f t="shared" si="5"/>
        <v>8.6945633108963888E-2</v>
      </c>
      <c r="N32" s="39">
        <f t="shared" si="5"/>
        <v>7.6959743892657959E-2</v>
      </c>
      <c r="O32" s="39">
        <f t="shared" si="5"/>
        <v>6.7802303540626108E-2</v>
      </c>
      <c r="P32" s="39">
        <f t="shared" si="5"/>
        <v>5.9457886167599977E-2</v>
      </c>
      <c r="Q32" s="39">
        <f t="shared" si="5"/>
        <v>5.1901171169587812E-2</v>
      </c>
      <c r="R32" s="39">
        <f t="shared" si="6"/>
        <v>4.5098794938501316E-2</v>
      </c>
      <c r="S32" s="39">
        <f t="shared" si="6"/>
        <v>3.9011155953200566E-2</v>
      </c>
      <c r="T32" s="39">
        <f t="shared" si="6"/>
        <v>3.3594114615026226E-2</v>
      </c>
      <c r="U32" s="39">
        <f t="shared" si="6"/>
        <v>2.8800545347247582E-2</v>
      </c>
      <c r="V32" s="39">
        <f t="shared" si="6"/>
        <v>2.4581713503501221E-2</v>
      </c>
      <c r="W32" s="39">
        <f t="shared" si="6"/>
        <v>2.0888462797200361E-2</v>
      </c>
      <c r="X32" s="39">
        <f t="shared" si="6"/>
        <v>1.7672209870868857E-2</v>
      </c>
      <c r="Y32" s="39">
        <f t="shared" si="6"/>
        <v>1.4885751150234102E-2</v>
      </c>
      <c r="Z32" s="39">
        <f t="shared" si="6"/>
        <v>1.2483893364831774E-2</v>
      </c>
      <c r="AA32" s="39">
        <f t="shared" si="6"/>
        <v>1.042392330061237E-2</v>
      </c>
      <c r="AB32" s="39">
        <f t="shared" si="7"/>
        <v>8.6659347964091644E-3</v>
      </c>
      <c r="AC32" s="39">
        <f t="shared" si="7"/>
        <v>7.1730320489140813E-3</v>
      </c>
      <c r="AD32" s="39">
        <f t="shared" si="7"/>
        <v>5.9114282836022682E-3</v>
      </c>
      <c r="AE32" s="39">
        <f t="shared" si="7"/>
        <v>4.8504580808075371E-3</v>
      </c>
      <c r="AF32" s="39">
        <f t="shared" si="7"/>
        <v>3.9625203686419388E-3</v>
      </c>
      <c r="AG32" s="39">
        <f t="shared" si="7"/>
        <v>3.2229675088098547E-3</v>
      </c>
      <c r="AH32" s="39">
        <f t="shared" si="7"/>
        <v>2.6099541608791475E-3</v>
      </c>
      <c r="AI32" s="39">
        <f t="shared" si="7"/>
        <v>2.1042578270080857E-3</v>
      </c>
      <c r="AJ32" s="39">
        <f t="shared" si="7"/>
        <v>1.6890812305026882E-3</v>
      </c>
      <c r="AK32" s="40">
        <f t="shared" si="7"/>
        <v>1.3498450198830652E-3</v>
      </c>
    </row>
    <row r="33" spans="7:37">
      <c r="G33" s="38">
        <f t="shared" si="4"/>
        <v>-0.1034482758620687</v>
      </c>
      <c r="H33" s="47">
        <f t="shared" si="5"/>
        <v>0.15081651697281498</v>
      </c>
      <c r="I33" s="39">
        <f t="shared" si="5"/>
        <v>0.13653947048870321</v>
      </c>
      <c r="J33" s="39">
        <f t="shared" si="5"/>
        <v>0.1230260370762576</v>
      </c>
      <c r="K33" s="39">
        <f t="shared" si="5"/>
        <v>0.1103264570419584</v>
      </c>
      <c r="L33" s="39">
        <f t="shared" si="5"/>
        <v>9.8474117025785651E-2</v>
      </c>
      <c r="M33" s="39">
        <f t="shared" si="5"/>
        <v>8.7486544256964102E-2</v>
      </c>
      <c r="N33" s="39">
        <f t="shared" si="5"/>
        <v>7.7366775660160772E-2</v>
      </c>
      <c r="O33" s="39">
        <f t="shared" si="5"/>
        <v>6.8104992882545609E-2</v>
      </c>
      <c r="P33" s="39">
        <f t="shared" si="5"/>
        <v>5.9680318924598373E-2</v>
      </c>
      <c r="Q33" s="39">
        <f t="shared" si="5"/>
        <v>5.2062682097586396E-2</v>
      </c>
      <c r="R33" s="39">
        <f t="shared" si="6"/>
        <v>4.5214666700682409E-2</v>
      </c>
      <c r="S33" s="39">
        <f t="shared" si="6"/>
        <v>3.9093285393333808E-2</v>
      </c>
      <c r="T33" s="39">
        <f t="shared" si="6"/>
        <v>3.3651624243026333E-2</v>
      </c>
      <c r="U33" s="39">
        <f t="shared" si="6"/>
        <v>2.8840326679028468E-2</v>
      </c>
      <c r="V33" s="39">
        <f t="shared" si="6"/>
        <v>2.460889625065742E-2</v>
      </c>
      <c r="W33" s="39">
        <f t="shared" si="6"/>
        <v>2.0906809680733482E-2</v>
      </c>
      <c r="X33" s="39">
        <f t="shared" si="6"/>
        <v>1.7684441018320934E-2</v>
      </c>
      <c r="Y33" s="39">
        <f t="shared" si="6"/>
        <v>1.4893804754506553E-2</v>
      </c>
      <c r="Z33" s="39">
        <f t="shared" si="6"/>
        <v>1.2489130755217914E-2</v>
      </c>
      <c r="AA33" s="39">
        <f t="shared" si="6"/>
        <v>1.0427287065469276E-2</v>
      </c>
      <c r="AB33" s="39">
        <f t="shared" si="7"/>
        <v>8.6680683706160215E-3</v>
      </c>
      <c r="AC33" s="39">
        <f t="shared" si="7"/>
        <v>7.1743684832893274E-3</v>
      </c>
      <c r="AD33" s="39">
        <f t="shared" si="7"/>
        <v>5.9122549541014615E-3</v>
      </c>
      <c r="AE33" s="39">
        <f t="shared" si="7"/>
        <v>4.8509630327927033E-3</v>
      </c>
      <c r="AF33" s="39">
        <f t="shared" si="7"/>
        <v>3.96282494010746E-3</v>
      </c>
      <c r="AG33" s="39">
        <f t="shared" si="7"/>
        <v>3.2231489095825771E-3</v>
      </c>
      <c r="AH33" s="39">
        <f t="shared" si="7"/>
        <v>2.6100608425392341E-3</v>
      </c>
      <c r="AI33" s="39">
        <f t="shared" si="7"/>
        <v>2.1043197756236785E-3</v>
      </c>
      <c r="AJ33" s="39">
        <f t="shared" si="7"/>
        <v>1.6891167490897293E-3</v>
      </c>
      <c r="AK33" s="40">
        <f t="shared" si="7"/>
        <v>1.3498651271718382E-3</v>
      </c>
    </row>
    <row r="34" spans="7:37">
      <c r="G34" s="38">
        <f t="shared" si="4"/>
        <v>-3.4482758620689391E-2</v>
      </c>
      <c r="H34" s="47">
        <f t="shared" si="5"/>
        <v>0.15240053159155204</v>
      </c>
      <c r="I34" s="39">
        <f t="shared" si="5"/>
        <v>0.13779086064109947</v>
      </c>
      <c r="J34" s="39">
        <f t="shared" si="5"/>
        <v>0.12400342212348549</v>
      </c>
      <c r="K34" s="39">
        <f t="shared" si="5"/>
        <v>0.11108108289294372</v>
      </c>
      <c r="L34" s="39">
        <f t="shared" si="5"/>
        <v>9.90500179402731E-2</v>
      </c>
      <c r="M34" s="39">
        <f t="shared" si="5"/>
        <v>8.7920928638662368E-2</v>
      </c>
      <c r="N34" s="39">
        <f t="shared" si="5"/>
        <v>7.7690573640902455E-2</v>
      </c>
      <c r="O34" s="39">
        <f t="shared" si="5"/>
        <v>6.8343506623599642E-2</v>
      </c>
      <c r="P34" s="39">
        <f t="shared" si="5"/>
        <v>5.9853923152706275E-2</v>
      </c>
      <c r="Q34" s="39">
        <f t="shared" si="5"/>
        <v>5.2187531183663337E-2</v>
      </c>
      <c r="R34" s="39">
        <f t="shared" si="6"/>
        <v>4.5303374383953161E-2</v>
      </c>
      <c r="S34" s="39">
        <f t="shared" si="6"/>
        <v>3.9155553037973238E-2</v>
      </c>
      <c r="T34" s="39">
        <f t="shared" si="6"/>
        <v>3.3694802514748629E-2</v>
      </c>
      <c r="U34" s="39">
        <f t="shared" si="6"/>
        <v>2.8869903233833549E-2</v>
      </c>
      <c r="V34" s="39">
        <f t="shared" si="6"/>
        <v>2.4628908172895869E-2</v>
      </c>
      <c r="W34" s="39">
        <f t="shared" si="6"/>
        <v>2.0920183937896557E-2</v>
      </c>
      <c r="X34" s="39">
        <f t="shared" si="6"/>
        <v>1.7693269218662013E-2</v>
      </c>
      <c r="Y34" s="39">
        <f t="shared" si="6"/>
        <v>1.4899560207439292E-2</v>
      </c>
      <c r="Z34" s="39">
        <f t="shared" si="6"/>
        <v>1.2492836503274554E-2</v>
      </c>
      <c r="AA34" s="39">
        <f t="shared" si="6"/>
        <v>1.042964345215004E-2</v>
      </c>
      <c r="AB34" s="39">
        <f t="shared" si="7"/>
        <v>8.6695480842030985E-3</v>
      </c>
      <c r="AC34" s="39">
        <f t="shared" si="7"/>
        <v>7.1752860891718361E-3</v>
      </c>
      <c r="AD34" s="39">
        <f t="shared" si="7"/>
        <v>5.9128168681860192E-3</v>
      </c>
      <c r="AE34" s="39">
        <f t="shared" si="7"/>
        <v>4.851302820256094E-3</v>
      </c>
      <c r="AF34" s="39">
        <f t="shared" si="7"/>
        <v>3.963027828717082E-3</v>
      </c>
      <c r="AG34" s="39">
        <f t="shared" si="7"/>
        <v>3.2232685314737592E-3</v>
      </c>
      <c r="AH34" s="39">
        <f t="shared" si="7"/>
        <v>2.6101304822132407E-3</v>
      </c>
      <c r="AI34" s="39">
        <f t="shared" si="7"/>
        <v>2.1043598057338847E-3</v>
      </c>
      <c r="AJ34" s="39">
        <f t="shared" si="7"/>
        <v>1.6891394682491995E-3</v>
      </c>
      <c r="AK34" s="40">
        <f t="shared" si="7"/>
        <v>1.3498778582459871E-3</v>
      </c>
    </row>
    <row r="35" spans="7:37">
      <c r="G35" s="38">
        <f t="shared" si="4"/>
        <v>3.4482758620689918E-2</v>
      </c>
      <c r="H35" s="47">
        <f t="shared" si="5"/>
        <v>0.15371674597783067</v>
      </c>
      <c r="I35" s="39">
        <f t="shared" si="5"/>
        <v>0.13882123990446368</v>
      </c>
      <c r="J35" s="39">
        <f t="shared" si="5"/>
        <v>0.1248008099871825</v>
      </c>
      <c r="K35" s="39">
        <f t="shared" si="5"/>
        <v>0.11169104179061247</v>
      </c>
      <c r="L35" s="39">
        <f t="shared" si="5"/>
        <v>9.9511175770207863E-2</v>
      </c>
      <c r="M35" s="39">
        <f t="shared" si="5"/>
        <v>8.8265500065914104E-2</v>
      </c>
      <c r="N35" s="39">
        <f t="shared" si="5"/>
        <v>7.7944995786493929E-2</v>
      </c>
      <c r="O35" s="39">
        <f t="shared" si="5"/>
        <v>6.8529134992967394E-2</v>
      </c>
      <c r="P35" s="39">
        <f t="shared" si="5"/>
        <v>5.9987742125301197E-2</v>
      </c>
      <c r="Q35" s="39">
        <f t="shared" si="5"/>
        <v>5.228284309053001E-2</v>
      </c>
      <c r="R35" s="39">
        <f t="shared" si="6"/>
        <v>4.5370441080203217E-2</v>
      </c>
      <c r="S35" s="39">
        <f t="shared" si="6"/>
        <v>3.9202173105743927E-2</v>
      </c>
      <c r="T35" s="39">
        <f t="shared" si="6"/>
        <v>3.3726815244219603E-2</v>
      </c>
      <c r="U35" s="39">
        <f t="shared" si="6"/>
        <v>2.8891617013095811E-2</v>
      </c>
      <c r="V35" s="39">
        <f t="shared" si="6"/>
        <v>2.4643455778719757E-2</v>
      </c>
      <c r="W35" s="39">
        <f t="shared" si="6"/>
        <v>2.0929810534798268E-2</v>
      </c>
      <c r="X35" s="39">
        <f t="shared" si="6"/>
        <v>1.7699560833774792E-2</v>
      </c>
      <c r="Y35" s="39">
        <f t="shared" si="6"/>
        <v>1.4903621307012208E-2</v>
      </c>
      <c r="Z35" s="39">
        <f t="shared" si="6"/>
        <v>1.2495425325915762E-2</v>
      </c>
      <c r="AA35" s="39">
        <f t="shared" si="6"/>
        <v>1.0431273213805691E-2</v>
      </c>
      <c r="AB35" s="39">
        <f t="shared" si="7"/>
        <v>8.6705612857834336E-3</v>
      </c>
      <c r="AC35" s="39">
        <f t="shared" si="7"/>
        <v>7.1759081104062258E-3</v>
      </c>
      <c r="AD35" s="39">
        <f t="shared" si="7"/>
        <v>5.9131939542776237E-3</v>
      </c>
      <c r="AE35" s="39">
        <f t="shared" si="7"/>
        <v>4.8515285510529627E-3</v>
      </c>
      <c r="AF35" s="39">
        <f t="shared" si="7"/>
        <v>3.963161256353505E-3</v>
      </c>
      <c r="AG35" s="39">
        <f t="shared" si="7"/>
        <v>3.2233464060540712E-3</v>
      </c>
      <c r="AH35" s="39">
        <f t="shared" si="7"/>
        <v>2.6101753599981031E-3</v>
      </c>
      <c r="AI35" s="39">
        <f t="shared" si="7"/>
        <v>2.1043853412241994E-3</v>
      </c>
      <c r="AJ35" s="39">
        <f t="shared" si="7"/>
        <v>1.6891538140861462E-3</v>
      </c>
      <c r="AK35" s="40">
        <f t="shared" si="7"/>
        <v>1.3498858156008615E-3</v>
      </c>
    </row>
    <row r="36" spans="7:37">
      <c r="G36" s="38">
        <f t="shared" si="4"/>
        <v>0.10344827586206923</v>
      </c>
      <c r="H36" s="47">
        <f t="shared" si="5"/>
        <v>0.1547973415240787</v>
      </c>
      <c r="I36" s="39">
        <f t="shared" si="5"/>
        <v>0.13965942601473663</v>
      </c>
      <c r="J36" s="39">
        <f t="shared" si="5"/>
        <v>0.12544347498943012</v>
      </c>
      <c r="K36" s="39">
        <f t="shared" si="5"/>
        <v>0.11217807070783101</v>
      </c>
      <c r="L36" s="39">
        <f t="shared" si="5"/>
        <v>9.9875940444663594E-2</v>
      </c>
      <c r="M36" s="39">
        <f t="shared" si="5"/>
        <v>8.8535475042082576E-2</v>
      </c>
      <c r="N36" s="39">
        <f t="shared" si="5"/>
        <v>7.8142444494694499E-2</v>
      </c>
      <c r="O36" s="39">
        <f t="shared" si="5"/>
        <v>6.8671818835430692E-2</v>
      </c>
      <c r="P36" s="39">
        <f t="shared" si="5"/>
        <v>6.0089614592613784E-2</v>
      </c>
      <c r="Q36" s="39">
        <f t="shared" si="5"/>
        <v>5.2354700932195852E-2</v>
      </c>
      <c r="R36" s="39">
        <f t="shared" si="6"/>
        <v>4.5420513943615695E-2</v>
      </c>
      <c r="S36" s="39">
        <f t="shared" si="6"/>
        <v>3.9236641326637373E-2</v>
      </c>
      <c r="T36" s="39">
        <f t="shared" si="6"/>
        <v>3.3750252258803633E-2</v>
      </c>
      <c r="U36" s="39">
        <f t="shared" si="6"/>
        <v>2.8907358034474747E-2</v>
      </c>
      <c r="V36" s="39">
        <f t="shared" si="6"/>
        <v>2.4653897984262315E-2</v>
      </c>
      <c r="W36" s="39">
        <f t="shared" si="6"/>
        <v>2.0936652218475214E-2</v>
      </c>
      <c r="X36" s="39">
        <f t="shared" si="6"/>
        <v>1.7703988032225712E-2</v>
      </c>
      <c r="Y36" s="39">
        <f t="shared" si="6"/>
        <v>1.4906450581462323E-2</v>
      </c>
      <c r="Z36" s="39">
        <f t="shared" si="6"/>
        <v>1.2497210937694002E-2</v>
      </c>
      <c r="AA36" s="39">
        <f t="shared" si="6"/>
        <v>1.0432386102021384E-2</v>
      </c>
      <c r="AB36" s="39">
        <f t="shared" si="7"/>
        <v>8.6712462313397118E-3</v>
      </c>
      <c r="AC36" s="39">
        <f t="shared" si="7"/>
        <v>7.1763243935124895E-3</v>
      </c>
      <c r="AD36" s="39">
        <f t="shared" si="7"/>
        <v>5.9134437808669275E-3</v>
      </c>
      <c r="AE36" s="39">
        <f t="shared" si="7"/>
        <v>4.8516765965582838E-3</v>
      </c>
      <c r="AF36" s="39">
        <f t="shared" si="7"/>
        <v>3.9632478824302058E-3</v>
      </c>
      <c r="AG36" s="39">
        <f t="shared" si="7"/>
        <v>3.2233964543883489E-3</v>
      </c>
      <c r="AH36" s="39">
        <f t="shared" si="7"/>
        <v>2.6102039102143949E-3</v>
      </c>
      <c r="AI36" s="39">
        <f t="shared" si="7"/>
        <v>2.1044014217291565E-3</v>
      </c>
      <c r="AJ36" s="39">
        <f t="shared" si="7"/>
        <v>1.6891627564559804E-3</v>
      </c>
      <c r="AK36" s="40">
        <f t="shared" si="7"/>
        <v>1.3498907253671252E-3</v>
      </c>
    </row>
    <row r="37" spans="7:37">
      <c r="G37" s="38">
        <f t="shared" si="4"/>
        <v>0.17241379310344854</v>
      </c>
      <c r="H37" s="47">
        <f t="shared" si="5"/>
        <v>0.15567382661547705</v>
      </c>
      <c r="I37" s="39">
        <f t="shared" si="5"/>
        <v>0.14033302328762365</v>
      </c>
      <c r="J37" s="39">
        <f t="shared" si="5"/>
        <v>0.12595514501607227</v>
      </c>
      <c r="K37" s="39">
        <f t="shared" si="5"/>
        <v>0.1125621978000157</v>
      </c>
      <c r="L37" s="39">
        <f t="shared" si="5"/>
        <v>0.10016092377501132</v>
      </c>
      <c r="M37" s="39">
        <f t="shared" si="5"/>
        <v>8.874440002358637E-2</v>
      </c>
      <c r="N37" s="39">
        <f t="shared" si="5"/>
        <v>7.8293785599341581E-2</v>
      </c>
      <c r="O37" s="39">
        <f t="shared" si="5"/>
        <v>6.878013429278701E-2</v>
      </c>
      <c r="P37" s="39">
        <f t="shared" si="5"/>
        <v>6.0166203238637528E-2</v>
      </c>
      <c r="Q37" s="39">
        <f t="shared" si="5"/>
        <v>5.2408200960299807E-2</v>
      </c>
      <c r="R37" s="39">
        <f t="shared" si="6"/>
        <v>4.5457431779633656E-2</v>
      </c>
      <c r="S37" s="39">
        <f t="shared" si="6"/>
        <v>3.9261805900143276E-2</v>
      </c>
      <c r="T37" s="39">
        <f t="shared" si="6"/>
        <v>3.3767195401296489E-2</v>
      </c>
      <c r="U37" s="39">
        <f t="shared" si="6"/>
        <v>2.8918625614876778E-2</v>
      </c>
      <c r="V37" s="39">
        <f t="shared" si="6"/>
        <v>2.4661298843825959E-2</v>
      </c>
      <c r="W37" s="39">
        <f t="shared" si="6"/>
        <v>2.0941453222413826E-2</v>
      </c>
      <c r="X37" s="39">
        <f t="shared" si="6"/>
        <v>1.770706388120016E-2</v>
      </c>
      <c r="Y37" s="39">
        <f t="shared" si="6"/>
        <v>1.4908396687964032E-2</v>
      </c>
      <c r="Z37" s="39">
        <f t="shared" si="6"/>
        <v>1.2498426909041653E-2</v>
      </c>
      <c r="AA37" s="39">
        <f t="shared" si="6"/>
        <v>1.0433136380577921E-2</v>
      </c>
      <c r="AB37" s="39">
        <f t="shared" si="7"/>
        <v>8.6717033745293721E-3</v>
      </c>
      <c r="AC37" s="39">
        <f t="shared" si="7"/>
        <v>7.1765994369451056E-3</v>
      </c>
      <c r="AD37" s="39">
        <f t="shared" si="7"/>
        <v>5.9136071834967989E-3</v>
      </c>
      <c r="AE37" s="39">
        <f t="shared" si="7"/>
        <v>4.8517724517369342E-3</v>
      </c>
      <c r="AF37" s="39">
        <f t="shared" si="7"/>
        <v>3.9633034039697661E-3</v>
      </c>
      <c r="AG37" s="39">
        <f t="shared" si="7"/>
        <v>3.2234282076197746E-3</v>
      </c>
      <c r="AH37" s="39">
        <f t="shared" si="7"/>
        <v>2.6102218404701403E-3</v>
      </c>
      <c r="AI37" s="39">
        <f t="shared" si="7"/>
        <v>2.1044114182583802E-3</v>
      </c>
      <c r="AJ37" s="39">
        <f t="shared" si="7"/>
        <v>1.6891682590654893E-3</v>
      </c>
      <c r="AK37" s="40">
        <f t="shared" si="7"/>
        <v>1.3498937158253654E-3</v>
      </c>
    </row>
    <row r="38" spans="7:37">
      <c r="G38" s="38">
        <f t="shared" si="4"/>
        <v>0.24137931034482785</v>
      </c>
      <c r="H38" s="47">
        <f t="shared" si="5"/>
        <v>0.15637616741978322</v>
      </c>
      <c r="I38" s="39">
        <f t="shared" si="5"/>
        <v>0.14086777916856105</v>
      </c>
      <c r="J38" s="39">
        <f t="shared" si="5"/>
        <v>0.12635755248661701</v>
      </c>
      <c r="K38" s="39">
        <f t="shared" si="5"/>
        <v>0.11286145389401116</v>
      </c>
      <c r="L38" s="39">
        <f t="shared" si="5"/>
        <v>0.10038083774220735</v>
      </c>
      <c r="M38" s="39">
        <f t="shared" si="5"/>
        <v>8.8904085059693785E-2</v>
      </c>
      <c r="N38" s="39">
        <f t="shared" si="5"/>
        <v>7.8408349608216438E-2</v>
      </c>
      <c r="O38" s="39">
        <f t="shared" si="5"/>
        <v>6.8861338358470608E-2</v>
      </c>
      <c r="P38" s="39">
        <f t="shared" si="5"/>
        <v>6.0223065984403211E-2</v>
      </c>
      <c r="Q38" s="39">
        <f t="shared" si="5"/>
        <v>5.2447535581927253E-2</v>
      </c>
      <c r="R38" s="39">
        <f t="shared" si="6"/>
        <v>4.5484309809070499E-2</v>
      </c>
      <c r="S38" s="39">
        <f t="shared" si="6"/>
        <v>3.9279947468652321E-2</v>
      </c>
      <c r="T38" s="39">
        <f t="shared" si="6"/>
        <v>3.377928990931043E-2</v>
      </c>
      <c r="U38" s="39">
        <f t="shared" si="6"/>
        <v>2.8926589404717321E-2</v>
      </c>
      <c r="V38" s="39">
        <f t="shared" si="6"/>
        <v>2.4666477928051152E-2</v>
      </c>
      <c r="W38" s="39">
        <f t="shared" si="6"/>
        <v>2.0944779605006004E-2</v>
      </c>
      <c r="X38" s="39">
        <f t="shared" si="6"/>
        <v>1.7709173786120958E-2</v>
      </c>
      <c r="Y38" s="39">
        <f t="shared" si="6"/>
        <v>1.4909718322413605E-2</v>
      </c>
      <c r="Z38" s="39">
        <f t="shared" si="6"/>
        <v>1.2499244441018027E-2</v>
      </c>
      <c r="AA38" s="39">
        <f t="shared" si="6"/>
        <v>1.0433635760415833E-2</v>
      </c>
      <c r="AB38" s="39">
        <f t="shared" si="7"/>
        <v>8.6720045910296615E-3</v>
      </c>
      <c r="AC38" s="39">
        <f t="shared" si="7"/>
        <v>7.1767788430907439E-3</v>
      </c>
      <c r="AD38" s="39">
        <f t="shared" si="7"/>
        <v>5.9137126942195506E-3</v>
      </c>
      <c r="AE38" s="39">
        <f t="shared" si="7"/>
        <v>4.8518337216266298E-3</v>
      </c>
      <c r="AF38" s="39">
        <f t="shared" si="7"/>
        <v>3.9633385341068181E-3</v>
      </c>
      <c r="AG38" s="39">
        <f t="shared" si="7"/>
        <v>3.2234480954020793E-3</v>
      </c>
      <c r="AH38" s="39">
        <f t="shared" si="7"/>
        <v>2.6102329567282766E-3</v>
      </c>
      <c r="AI38" s="39">
        <f t="shared" si="7"/>
        <v>2.1044175528980229E-3</v>
      </c>
      <c r="AJ38" s="39">
        <f t="shared" si="7"/>
        <v>1.6891716015582524E-3</v>
      </c>
      <c r="AK38" s="40">
        <f t="shared" si="7"/>
        <v>1.3498955138518025E-3</v>
      </c>
    </row>
    <row r="39" spans="7:37">
      <c r="G39" s="38">
        <f t="shared" si="4"/>
        <v>0.31034482758620718</v>
      </c>
      <c r="H39" s="47">
        <f t="shared" si="5"/>
        <v>0.15693213801888997</v>
      </c>
      <c r="I39" s="39">
        <f t="shared" si="5"/>
        <v>0.14128713852676195</v>
      </c>
      <c r="J39" s="39">
        <f t="shared" si="5"/>
        <v>0.12667015639750959</v>
      </c>
      <c r="K39" s="39">
        <f t="shared" si="5"/>
        <v>0.11309172627903877</v>
      </c>
      <c r="L39" s="39">
        <f t="shared" si="5"/>
        <v>0.1005484466064368</v>
      </c>
      <c r="M39" s="39">
        <f t="shared" si="5"/>
        <v>8.9024624820543838E-2</v>
      </c>
      <c r="N39" s="39">
        <f t="shared" si="5"/>
        <v>7.8493997072088678E-2</v>
      </c>
      <c r="O39" s="39">
        <f t="shared" si="5"/>
        <v>6.8921459062472962E-2</v>
      </c>
      <c r="P39" s="39">
        <f t="shared" si="5"/>
        <v>6.026475630711374E-2</v>
      </c>
      <c r="Q39" s="39">
        <f t="shared" si="5"/>
        <v>5.2476093464262921E-2</v>
      </c>
      <c r="R39" s="39">
        <f t="shared" si="6"/>
        <v>4.5503632858502743E-2</v>
      </c>
      <c r="S39" s="39">
        <f t="shared" si="6"/>
        <v>3.9292861593990695E-2</v>
      </c>
      <c r="T39" s="39">
        <f t="shared" si="6"/>
        <v>3.378781454840727E-2</v>
      </c>
      <c r="U39" s="39">
        <f t="shared" si="6"/>
        <v>2.8932147063056166E-2</v>
      </c>
      <c r="V39" s="39">
        <f t="shared" si="6"/>
        <v>2.467005639297996E-2</v>
      </c>
      <c r="W39" s="39">
        <f t="shared" si="6"/>
        <v>2.09470551005639E-2</v>
      </c>
      <c r="X39" s="39">
        <f t="shared" si="6"/>
        <v>1.7710602731635078E-2</v>
      </c>
      <c r="Y39" s="39">
        <f t="shared" si="6"/>
        <v>1.4910604463326678E-2</v>
      </c>
      <c r="Z39" s="39">
        <f t="shared" si="6"/>
        <v>1.2499787097661322E-2</v>
      </c>
      <c r="AA39" s="39">
        <f t="shared" si="6"/>
        <v>1.0433963909486229E-2</v>
      </c>
      <c r="AB39" s="39">
        <f t="shared" si="7"/>
        <v>8.6722005341982183E-3</v>
      </c>
      <c r="AC39" s="39">
        <f t="shared" si="7"/>
        <v>7.1768943722919244E-3</v>
      </c>
      <c r="AD39" s="39">
        <f t="shared" si="7"/>
        <v>5.9137799526134257E-3</v>
      </c>
      <c r="AE39" s="39">
        <f t="shared" si="7"/>
        <v>4.8518723837066065E-3</v>
      </c>
      <c r="AF39" s="39">
        <f t="shared" si="7"/>
        <v>3.9633604772766591E-3</v>
      </c>
      <c r="AG39" s="39">
        <f t="shared" si="7"/>
        <v>3.2234603918828765E-3</v>
      </c>
      <c r="AH39" s="39">
        <f t="shared" si="7"/>
        <v>2.6102397600649067E-3</v>
      </c>
      <c r="AI39" s="39">
        <f t="shared" si="7"/>
        <v>2.1044212692383434E-3</v>
      </c>
      <c r="AJ39" s="39">
        <f t="shared" si="7"/>
        <v>1.689173605820316E-3</v>
      </c>
      <c r="AK39" s="40">
        <f t="shared" si="7"/>
        <v>1.3498965810191364E-3</v>
      </c>
    </row>
    <row r="40" spans="7:37">
      <c r="G40" s="38">
        <f t="shared" si="4"/>
        <v>0.37931034482758652</v>
      </c>
      <c r="H40" s="47">
        <f t="shared" ref="H40:Q49" si="8">IF($G$10=1,CBNDGeneral($H$10,$G40,H$19,$D$5),"")</f>
        <v>0.15736688455903225</v>
      </c>
      <c r="I40" s="39">
        <f t="shared" si="8"/>
        <v>0.14161198184020582</v>
      </c>
      <c r="J40" s="39">
        <f t="shared" si="8"/>
        <v>0.12691001635584651</v>
      </c>
      <c r="K40" s="39">
        <f t="shared" si="8"/>
        <v>0.1132667332761611</v>
      </c>
      <c r="L40" s="39">
        <f t="shared" si="8"/>
        <v>0.10067461106204743</v>
      </c>
      <c r="M40" s="39">
        <f t="shared" si="8"/>
        <v>8.9114486553357186E-2</v>
      </c>
      <c r="N40" s="39">
        <f t="shared" si="8"/>
        <v>7.855722994070094E-2</v>
      </c>
      <c r="O40" s="39">
        <f t="shared" si="8"/>
        <v>6.8965414969544198E-2</v>
      </c>
      <c r="P40" s="39">
        <f t="shared" si="8"/>
        <v>6.0294940214324515E-2</v>
      </c>
      <c r="Q40" s="39">
        <f t="shared" si="8"/>
        <v>5.2496567177065148E-2</v>
      </c>
      <c r="R40" s="39">
        <f t="shared" ref="R40:AA49" si="9">IF($G$10=1,CBNDGeneral($H$10,$G40,R$19,$D$5),"")</f>
        <v>4.5517349922856554E-2</v>
      </c>
      <c r="S40" s="39">
        <f t="shared" si="9"/>
        <v>3.9301938773531962E-2</v>
      </c>
      <c r="T40" s="39">
        <f t="shared" si="9"/>
        <v>3.3793747199348974E-2</v>
      </c>
      <c r="U40" s="39">
        <f t="shared" si="9"/>
        <v>2.8935976534362105E-2</v>
      </c>
      <c r="V40" s="39">
        <f t="shared" si="9"/>
        <v>2.4672497607990986E-2</v>
      </c>
      <c r="W40" s="39">
        <f t="shared" si="9"/>
        <v>2.0948591967966824E-2</v>
      </c>
      <c r="X40" s="39">
        <f t="shared" si="9"/>
        <v>1.7711558200960317E-2</v>
      </c>
      <c r="Y40" s="39">
        <f t="shared" si="9"/>
        <v>1.4911191053391963E-2</v>
      </c>
      <c r="Z40" s="39">
        <f t="shared" si="9"/>
        <v>1.2500142711475501E-2</v>
      </c>
      <c r="AA40" s="39">
        <f t="shared" si="9"/>
        <v>1.0434176790805627E-2</v>
      </c>
      <c r="AB40" s="39">
        <f t="shared" ref="AB40:AK49" si="10">IF($G$10=1,CBNDGeneral($H$10,$G40,AB$19,$D$5),"")</f>
        <v>8.6723263691169377E-3</v>
      </c>
      <c r="AC40" s="39">
        <f t="shared" si="10"/>
        <v>7.1769678168719471E-3</v>
      </c>
      <c r="AD40" s="39">
        <f t="shared" si="10"/>
        <v>5.9138222783093469E-3</v>
      </c>
      <c r="AE40" s="39">
        <f t="shared" si="10"/>
        <v>4.8518964675374589E-3</v>
      </c>
      <c r="AF40" s="39">
        <f t="shared" si="10"/>
        <v>3.9633740078418387E-3</v>
      </c>
      <c r="AG40" s="39">
        <f t="shared" si="10"/>
        <v>3.2234678971726012E-3</v>
      </c>
      <c r="AH40" s="39">
        <f t="shared" si="10"/>
        <v>2.6102438703580876E-3</v>
      </c>
      <c r="AI40" s="39">
        <f t="shared" si="10"/>
        <v>2.1044234916525236E-3</v>
      </c>
      <c r="AJ40" s="39">
        <f t="shared" si="10"/>
        <v>1.6891747921829645E-3</v>
      </c>
      <c r="AK40" s="40">
        <f t="shared" si="10"/>
        <v>1.3498972062550841E-3</v>
      </c>
    </row>
    <row r="41" spans="7:37">
      <c r="G41" s="38">
        <f t="shared" si="4"/>
        <v>0.44827586206896586</v>
      </c>
      <c r="H41" s="47">
        <f t="shared" si="8"/>
        <v>0.15770268544942767</v>
      </c>
      <c r="I41" s="39">
        <f t="shared" si="8"/>
        <v>0.14186052438727548</v>
      </c>
      <c r="J41" s="39">
        <f t="shared" si="8"/>
        <v>0.12709179369416046</v>
      </c>
      <c r="K41" s="39">
        <f t="shared" si="8"/>
        <v>0.11339809489553974</v>
      </c>
      <c r="L41" s="39">
        <f t="shared" si="8"/>
        <v>0.10076840155463543</v>
      </c>
      <c r="M41" s="39">
        <f t="shared" si="8"/>
        <v>8.9180644877093304E-2</v>
      </c>
      <c r="N41" s="39">
        <f t="shared" si="8"/>
        <v>7.8603332084245636E-2</v>
      </c>
      <c r="O41" s="39">
        <f t="shared" si="8"/>
        <v>6.899715051433454E-2</v>
      </c>
      <c r="P41" s="39">
        <f t="shared" si="8"/>
        <v>6.0316519537026679E-2</v>
      </c>
      <c r="Q41" s="39">
        <f t="shared" si="8"/>
        <v>5.2511060797521832E-2</v>
      </c>
      <c r="R41" s="39">
        <f t="shared" si="9"/>
        <v>4.5526964821149193E-2</v>
      </c>
      <c r="S41" s="39">
        <f t="shared" si="9"/>
        <v>3.9308238532781078E-2</v>
      </c>
      <c r="T41" s="39">
        <f t="shared" si="9"/>
        <v>3.3797823802899148E-2</v>
      </c>
      <c r="U41" s="39">
        <f t="shared" si="9"/>
        <v>2.8938581806606526E-2</v>
      </c>
      <c r="V41" s="39">
        <f t="shared" si="9"/>
        <v>2.4674141879917399E-2</v>
      </c>
      <c r="W41" s="39">
        <f t="shared" si="9"/>
        <v>2.0949616785921488E-2</v>
      </c>
      <c r="X41" s="39">
        <f t="shared" si="9"/>
        <v>1.7712188954696801E-2</v>
      </c>
      <c r="Y41" s="39">
        <f t="shared" si="9"/>
        <v>1.4911574408432561E-2</v>
      </c>
      <c r="Z41" s="39">
        <f t="shared" si="9"/>
        <v>1.2500372781307639E-2</v>
      </c>
      <c r="AA41" s="39">
        <f t="shared" si="9"/>
        <v>1.0434313131305158E-2</v>
      </c>
      <c r="AB41" s="39">
        <f t="shared" si="10"/>
        <v>8.6724061478156925E-3</v>
      </c>
      <c r="AC41" s="39">
        <f t="shared" si="10"/>
        <v>7.1770139100432364E-3</v>
      </c>
      <c r="AD41" s="39">
        <f t="shared" si="10"/>
        <v>5.913848572816344E-3</v>
      </c>
      <c r="AE41" s="39">
        <f t="shared" si="10"/>
        <v>4.8519112778419929E-3</v>
      </c>
      <c r="AF41" s="39">
        <f t="shared" si="10"/>
        <v>3.9633822440178273E-3</v>
      </c>
      <c r="AG41" s="39">
        <f t="shared" si="10"/>
        <v>3.2234724192969416E-3</v>
      </c>
      <c r="AH41" s="39">
        <f t="shared" si="10"/>
        <v>2.6102463217209581E-3</v>
      </c>
      <c r="AI41" s="39">
        <f t="shared" si="10"/>
        <v>2.104424803593409E-3</v>
      </c>
      <c r="AJ41" s="39">
        <f t="shared" si="10"/>
        <v>1.6891754853791518E-3</v>
      </c>
      <c r="AK41" s="40">
        <f t="shared" si="10"/>
        <v>1.349897567854149E-3</v>
      </c>
    </row>
    <row r="42" spans="7:37">
      <c r="G42" s="38">
        <f t="shared" si="4"/>
        <v>0.5172413793103452</v>
      </c>
      <c r="H42" s="47">
        <f t="shared" si="8"/>
        <v>0.15795888070472941</v>
      </c>
      <c r="I42" s="39">
        <f t="shared" si="8"/>
        <v>0.14204834800319621</v>
      </c>
      <c r="J42" s="39">
        <f t="shared" si="8"/>
        <v>0.12722785197177283</v>
      </c>
      <c r="K42" s="39">
        <f t="shared" si="8"/>
        <v>0.11349547422793897</v>
      </c>
      <c r="L42" s="39">
        <f t="shared" si="8"/>
        <v>0.10083725870899392</v>
      </c>
      <c r="M42" s="39">
        <f t="shared" si="8"/>
        <v>8.9228745095474529E-2</v>
      </c>
      <c r="N42" s="39">
        <f t="shared" si="8"/>
        <v>7.863652440862258E-2</v>
      </c>
      <c r="O42" s="39">
        <f t="shared" si="8"/>
        <v>6.9019776078946188E-2</v>
      </c>
      <c r="P42" s="39">
        <f t="shared" si="8"/>
        <v>6.0331753477848894E-2</v>
      </c>
      <c r="Q42" s="39">
        <f t="shared" si="8"/>
        <v>5.2521191917111298E-2</v>
      </c>
      <c r="R42" s="39">
        <f t="shared" si="9"/>
        <v>4.5533619351931287E-2</v>
      </c>
      <c r="S42" s="39">
        <f t="shared" si="9"/>
        <v>3.9312555471246839E-2</v>
      </c>
      <c r="T42" s="39">
        <f t="shared" si="9"/>
        <v>3.3800589581070475E-2</v>
      </c>
      <c r="U42" s="39">
        <f t="shared" si="9"/>
        <v>2.8940331764102645E-2</v>
      </c>
      <c r="V42" s="39">
        <f t="shared" si="9"/>
        <v>2.4675235314525413E-2</v>
      </c>
      <c r="W42" s="39">
        <f t="shared" si="9"/>
        <v>2.0950291470216528E-2</v>
      </c>
      <c r="X42" s="39">
        <f t="shared" si="9"/>
        <v>1.7712600046605149E-2</v>
      </c>
      <c r="Y42" s="39">
        <f t="shared" si="9"/>
        <v>1.4911821749695936E-2</v>
      </c>
      <c r="Z42" s="39">
        <f t="shared" si="9"/>
        <v>1.250051972906773E-2</v>
      </c>
      <c r="AA42" s="39">
        <f t="shared" si="9"/>
        <v>1.0434399335451235E-2</v>
      </c>
      <c r="AB42" s="39">
        <f t="shared" si="10"/>
        <v>8.6724560802487471E-3</v>
      </c>
      <c r="AC42" s="39">
        <f t="shared" si="10"/>
        <v>7.1770424673877793E-3</v>
      </c>
      <c r="AD42" s="39">
        <f t="shared" si="10"/>
        <v>5.9138646987567239E-3</v>
      </c>
      <c r="AE42" s="39">
        <f t="shared" si="10"/>
        <v>4.8519202686036871E-3</v>
      </c>
      <c r="AF42" s="39">
        <f t="shared" si="10"/>
        <v>3.9633871930995924E-3</v>
      </c>
      <c r="AG42" s="39">
        <f t="shared" si="10"/>
        <v>3.2234751089878265E-3</v>
      </c>
      <c r="AH42" s="39">
        <f t="shared" si="10"/>
        <v>2.6102477649091863E-3</v>
      </c>
      <c r="AI42" s="39">
        <f t="shared" si="10"/>
        <v>2.1044255680979329E-3</v>
      </c>
      <c r="AJ42" s="39">
        <f t="shared" si="10"/>
        <v>1.6891758852019486E-3</v>
      </c>
      <c r="AK42" s="40">
        <f t="shared" si="10"/>
        <v>1.3498977742874207E-3</v>
      </c>
    </row>
    <row r="43" spans="7:37">
      <c r="G43" s="38">
        <f t="shared" si="4"/>
        <v>0.58620689655172453</v>
      </c>
      <c r="H43" s="47">
        <f t="shared" si="8"/>
        <v>0.15815193835732161</v>
      </c>
      <c r="I43" s="39">
        <f t="shared" si="8"/>
        <v>0.14218853465511544</v>
      </c>
      <c r="J43" s="39">
        <f t="shared" si="8"/>
        <v>0.12732842902833574</v>
      </c>
      <c r="K43" s="39">
        <f t="shared" si="8"/>
        <v>0.11356676557297109</v>
      </c>
      <c r="L43" s="39">
        <f t="shared" si="8"/>
        <v>0.10088718108105021</v>
      </c>
      <c r="M43" s="39">
        <f t="shared" si="8"/>
        <v>8.9263279402574891E-2</v>
      </c>
      <c r="N43" s="39">
        <f t="shared" si="8"/>
        <v>7.8660122757075956E-2</v>
      </c>
      <c r="O43" s="39">
        <f t="shared" si="8"/>
        <v>6.9035704306826123E-2</v>
      </c>
      <c r="P43" s="39">
        <f t="shared" si="8"/>
        <v>6.0342372616777711E-2</v>
      </c>
      <c r="Q43" s="39">
        <f t="shared" si="8"/>
        <v>5.2528184367273766E-2</v>
      </c>
      <c r="R43" s="39">
        <f t="shared" si="9"/>
        <v>4.5538166834865376E-2</v>
      </c>
      <c r="S43" s="39">
        <f t="shared" si="9"/>
        <v>3.9315476251198724E-2</v>
      </c>
      <c r="T43" s="39">
        <f t="shared" si="9"/>
        <v>3.3802442251114256E-2</v>
      </c>
      <c r="U43" s="39">
        <f t="shared" si="9"/>
        <v>2.8941492290749715E-2</v>
      </c>
      <c r="V43" s="39">
        <f t="shared" si="9"/>
        <v>2.4675953203201647E-2</v>
      </c>
      <c r="W43" s="39">
        <f t="shared" si="9"/>
        <v>2.0950729992797613E-2</v>
      </c>
      <c r="X43" s="39">
        <f t="shared" si="9"/>
        <v>1.7712864560403874E-2</v>
      </c>
      <c r="Y43" s="39">
        <f t="shared" si="9"/>
        <v>1.4911979298648164E-2</v>
      </c>
      <c r="Z43" s="39">
        <f t="shared" si="9"/>
        <v>1.2500612387178698E-2</v>
      </c>
      <c r="AA43" s="39">
        <f t="shared" si="9"/>
        <v>1.0434453142923879E-2</v>
      </c>
      <c r="AB43" s="39">
        <f t="shared" si="10"/>
        <v>8.6724869322968561E-3</v>
      </c>
      <c r="AC43" s="39">
        <f t="shared" si="10"/>
        <v>7.1770599336180999E-3</v>
      </c>
      <c r="AD43" s="39">
        <f t="shared" si="10"/>
        <v>5.9138744616856094E-3</v>
      </c>
      <c r="AE43" s="39">
        <f t="shared" si="10"/>
        <v>4.8519256565001797E-3</v>
      </c>
      <c r="AF43" s="39">
        <f t="shared" si="10"/>
        <v>3.9633901287839165E-3</v>
      </c>
      <c r="AG43" s="39">
        <f t="shared" si="10"/>
        <v>3.2234766882115076E-3</v>
      </c>
      <c r="AH43" s="39">
        <f t="shared" si="10"/>
        <v>2.6102486036266186E-3</v>
      </c>
      <c r="AI43" s="39">
        <f t="shared" si="10"/>
        <v>2.1044260078615451E-3</v>
      </c>
      <c r="AJ43" s="39">
        <f t="shared" si="10"/>
        <v>1.6891761128420089E-3</v>
      </c>
      <c r="AK43" s="40">
        <f t="shared" si="10"/>
        <v>1.3498978906191913E-3</v>
      </c>
    </row>
    <row r="44" spans="7:37">
      <c r="G44" s="38">
        <f t="shared" si="4"/>
        <v>0.65517241379310387</v>
      </c>
      <c r="H44" s="47">
        <f t="shared" si="8"/>
        <v>0.15829562414100529</v>
      </c>
      <c r="I44" s="39">
        <f t="shared" si="8"/>
        <v>0.14229187155075276</v>
      </c>
      <c r="J44" s="39">
        <f t="shared" si="8"/>
        <v>0.12740185469515658</v>
      </c>
      <c r="K44" s="39">
        <f t="shared" si="8"/>
        <v>0.11361830811006347</v>
      </c>
      <c r="L44" s="39">
        <f t="shared" si="8"/>
        <v>0.10092292361743496</v>
      </c>
      <c r="M44" s="39">
        <f t="shared" si="8"/>
        <v>8.928776352364344E-2</v>
      </c>
      <c r="N44" s="39">
        <f t="shared" si="8"/>
        <v>7.867668970927974E-2</v>
      </c>
      <c r="O44" s="39">
        <f t="shared" si="8"/>
        <v>6.9046776672338384E-2</v>
      </c>
      <c r="P44" s="39">
        <f t="shared" si="8"/>
        <v>6.0349681649482102E-2</v>
      </c>
      <c r="Q44" s="39">
        <f t="shared" si="8"/>
        <v>5.2532949601556841E-2</v>
      </c>
      <c r="R44" s="39">
        <f t="shared" si="9"/>
        <v>4.5541235134075687E-2</v>
      </c>
      <c r="S44" s="39">
        <f t="shared" si="9"/>
        <v>3.9317427377954642E-2</v>
      </c>
      <c r="T44" s="39">
        <f t="shared" si="9"/>
        <v>3.3803667526555663E-2</v>
      </c>
      <c r="U44" s="39">
        <f t="shared" si="9"/>
        <v>2.8942252143485146E-2</v>
      </c>
      <c r="V44" s="39">
        <f t="shared" si="9"/>
        <v>2.4676418532465345E-2</v>
      </c>
      <c r="W44" s="39">
        <f t="shared" si="9"/>
        <v>2.0951011386926427E-2</v>
      </c>
      <c r="X44" s="39">
        <f t="shared" si="9"/>
        <v>1.7713032588770258E-2</v>
      </c>
      <c r="Y44" s="39">
        <f t="shared" si="9"/>
        <v>1.4912078371094165E-2</v>
      </c>
      <c r="Z44" s="39">
        <f t="shared" si="9"/>
        <v>1.2500670065983745E-2</v>
      </c>
      <c r="AA44" s="39">
        <f t="shared" si="9"/>
        <v>1.0434486299038627E-2</v>
      </c>
      <c r="AB44" s="39">
        <f t="shared" si="10"/>
        <v>8.6725057508595174E-3</v>
      </c>
      <c r="AC44" s="39">
        <f t="shared" si="10"/>
        <v>7.1770704793468042E-3</v>
      </c>
      <c r="AD44" s="39">
        <f t="shared" si="10"/>
        <v>5.9138802964913322E-3</v>
      </c>
      <c r="AE44" s="39">
        <f t="shared" si="10"/>
        <v>4.8519288438417336E-3</v>
      </c>
      <c r="AF44" s="39">
        <f t="shared" si="10"/>
        <v>3.9633918477856994E-3</v>
      </c>
      <c r="AG44" s="39">
        <f t="shared" si="10"/>
        <v>3.2234776035106232E-3</v>
      </c>
      <c r="AH44" s="39">
        <f t="shared" si="10"/>
        <v>2.6102490847789103E-3</v>
      </c>
      <c r="AI44" s="39">
        <f t="shared" si="10"/>
        <v>2.1044262575675549E-3</v>
      </c>
      <c r="AJ44" s="39">
        <f t="shared" si="10"/>
        <v>1.689176240779186E-3</v>
      </c>
      <c r="AK44" s="40">
        <f t="shared" si="10"/>
        <v>1.349897955330555E-3</v>
      </c>
    </row>
    <row r="45" spans="7:37">
      <c r="G45" s="38">
        <f t="shared" si="4"/>
        <v>0.72413793103448321</v>
      </c>
      <c r="H45" s="47">
        <f t="shared" si="8"/>
        <v>0.15840124178380252</v>
      </c>
      <c r="I45" s="39">
        <f t="shared" si="8"/>
        <v>0.14236710007444126</v>
      </c>
      <c r="J45" s="39">
        <f t="shared" si="8"/>
        <v>0.12745479165171097</v>
      </c>
      <c r="K45" s="39">
        <f t="shared" si="8"/>
        <v>0.11365510759160473</v>
      </c>
      <c r="L45" s="39">
        <f t="shared" si="8"/>
        <v>0.10094819379599305</v>
      </c>
      <c r="M45" s="39">
        <f t="shared" si="8"/>
        <v>8.9304904592102635E-2</v>
      </c>
      <c r="N45" s="39">
        <f t="shared" si="8"/>
        <v>7.8688174178141015E-2</v>
      </c>
      <c r="O45" s="39">
        <f t="shared" si="8"/>
        <v>6.9054376594506625E-2</v>
      </c>
      <c r="P45" s="39">
        <f t="shared" si="8"/>
        <v>6.0354648893770589E-2</v>
      </c>
      <c r="Q45" s="39">
        <f t="shared" si="8"/>
        <v>5.2536155974733947E-2</v>
      </c>
      <c r="R45" s="39">
        <f t="shared" si="9"/>
        <v>4.5543279176111617E-2</v>
      </c>
      <c r="S45" s="39">
        <f t="shared" si="9"/>
        <v>3.9318714230400627E-2</v>
      </c>
      <c r="T45" s="39">
        <f t="shared" si="9"/>
        <v>3.38044675775706E-2</v>
      </c>
      <c r="U45" s="39">
        <f t="shared" si="9"/>
        <v>2.8942743327504641E-2</v>
      </c>
      <c r="V45" s="39">
        <f t="shared" si="9"/>
        <v>2.4676716313309296E-2</v>
      </c>
      <c r="W45" s="39">
        <f t="shared" si="9"/>
        <v>2.0951189651197261E-2</v>
      </c>
      <c r="X45" s="39">
        <f t="shared" si="9"/>
        <v>1.7713137963520732E-2</v>
      </c>
      <c r="Y45" s="39">
        <f t="shared" si="9"/>
        <v>1.4912139875153598E-2</v>
      </c>
      <c r="Z45" s="39">
        <f t="shared" si="9"/>
        <v>1.2500705511131433E-2</v>
      </c>
      <c r="AA45" s="39">
        <f t="shared" si="9"/>
        <v>1.0434506468156923E-2</v>
      </c>
      <c r="AB45" s="39">
        <f t="shared" si="10"/>
        <v>8.6725170823216749E-3</v>
      </c>
      <c r="AC45" s="39">
        <f t="shared" si="10"/>
        <v>7.1770767649383298E-3</v>
      </c>
      <c r="AD45" s="39">
        <f t="shared" si="10"/>
        <v>5.9138837388821742E-3</v>
      </c>
      <c r="AE45" s="39">
        <f t="shared" si="10"/>
        <v>4.8519307051618317E-3</v>
      </c>
      <c r="AF45" s="39">
        <f t="shared" si="10"/>
        <v>3.9633928414100541E-3</v>
      </c>
      <c r="AG45" s="39">
        <f t="shared" si="10"/>
        <v>3.2234781271802712E-3</v>
      </c>
      <c r="AH45" s="39">
        <f t="shared" si="10"/>
        <v>2.6102493572501403E-3</v>
      </c>
      <c r="AI45" s="39">
        <f t="shared" si="10"/>
        <v>2.104426397528327E-3</v>
      </c>
      <c r="AJ45" s="39">
        <f t="shared" si="10"/>
        <v>1.6891763117547849E-3</v>
      </c>
      <c r="AK45" s="40">
        <f t="shared" si="10"/>
        <v>1.3498979908628903E-3</v>
      </c>
    </row>
    <row r="46" spans="7:37">
      <c r="G46" s="38">
        <f t="shared" si="4"/>
        <v>0.79310344827586254</v>
      </c>
      <c r="H46" s="47">
        <f t="shared" si="8"/>
        <v>0.15847791451378723</v>
      </c>
      <c r="I46" s="39">
        <f t="shared" si="8"/>
        <v>0.14242118483722385</v>
      </c>
      <c r="J46" s="39">
        <f t="shared" si="8"/>
        <v>0.12749248111176145</v>
      </c>
      <c r="K46" s="39">
        <f t="shared" si="8"/>
        <v>0.11368105256010216</v>
      </c>
      <c r="L46" s="39">
        <f t="shared" si="8"/>
        <v>0.10096583602362319</v>
      </c>
      <c r="M46" s="39">
        <f t="shared" si="8"/>
        <v>8.9316754117201885E-2</v>
      </c>
      <c r="N46" s="39">
        <f t="shared" si="8"/>
        <v>7.8696035167888118E-2</v>
      </c>
      <c r="O46" s="39">
        <f t="shared" si="8"/>
        <v>6.9059527279447447E-2</v>
      </c>
      <c r="P46" s="39">
        <f t="shared" si="8"/>
        <v>6.0357981991364107E-2</v>
      </c>
      <c r="Q46" s="39">
        <f t="shared" si="8"/>
        <v>5.2538286129720072E-2</v>
      </c>
      <c r="R46" s="39">
        <f t="shared" si="9"/>
        <v>4.5544623612594738E-2</v>
      </c>
      <c r="S46" s="39">
        <f t="shared" si="9"/>
        <v>3.9319552187811996E-2</v>
      </c>
      <c r="T46" s="39">
        <f t="shared" si="9"/>
        <v>3.3804983332802088E-2</v>
      </c>
      <c r="U46" s="39">
        <f t="shared" si="9"/>
        <v>2.8943056795777685E-2</v>
      </c>
      <c r="V46" s="39">
        <f t="shared" si="9"/>
        <v>2.4676904444457134E-2</v>
      </c>
      <c r="W46" s="39">
        <f t="shared" si="9"/>
        <v>2.0951301140843849E-2</v>
      </c>
      <c r="X46" s="39">
        <f t="shared" si="9"/>
        <v>1.7713203202212809E-2</v>
      </c>
      <c r="Y46" s="39">
        <f t="shared" si="9"/>
        <v>1.4912177568399337E-2</v>
      </c>
      <c r="Z46" s="39">
        <f t="shared" si="9"/>
        <v>1.2500727014209784E-2</v>
      </c>
      <c r="AA46" s="39">
        <f t="shared" si="9"/>
        <v>1.0434518579944914E-2</v>
      </c>
      <c r="AB46" s="39">
        <f t="shared" si="10"/>
        <v>8.6725238179569657E-3</v>
      </c>
      <c r="AC46" s="39">
        <f t="shared" si="10"/>
        <v>7.1770804632552638E-3</v>
      </c>
      <c r="AD46" s="39">
        <f t="shared" si="10"/>
        <v>5.9138857437138585E-3</v>
      </c>
      <c r="AE46" s="39">
        <f t="shared" si="10"/>
        <v>4.8519317781458978E-3</v>
      </c>
      <c r="AF46" s="39">
        <f t="shared" si="10"/>
        <v>3.9633934083588909E-3</v>
      </c>
      <c r="AG46" s="39">
        <f t="shared" si="10"/>
        <v>3.2234784229295561E-3</v>
      </c>
      <c r="AH46" s="39">
        <f t="shared" si="10"/>
        <v>2.6102495095596681E-3</v>
      </c>
      <c r="AI46" s="39">
        <f t="shared" si="10"/>
        <v>2.1044264749653331E-3</v>
      </c>
      <c r="AJ46" s="39">
        <f t="shared" si="10"/>
        <v>1.6891763506219613E-3</v>
      </c>
      <c r="AK46" s="40">
        <f t="shared" si="10"/>
        <v>1.349898010121524E-3</v>
      </c>
    </row>
    <row r="47" spans="7:37">
      <c r="G47" s="38">
        <f t="shared" si="4"/>
        <v>0.86206896551724188</v>
      </c>
      <c r="H47" s="47">
        <f t="shared" si="8"/>
        <v>0.15853288301047833</v>
      </c>
      <c r="I47" s="39">
        <f t="shared" si="8"/>
        <v>0.14245958386157687</v>
      </c>
      <c r="J47" s="39">
        <f t="shared" si="8"/>
        <v>0.12751897948377391</v>
      </c>
      <c r="K47" s="39">
        <f t="shared" si="8"/>
        <v>0.11369911553870346</v>
      </c>
      <c r="L47" s="39">
        <f t="shared" si="8"/>
        <v>0.10097799818183081</v>
      </c>
      <c r="M47" s="39">
        <f t="shared" si="8"/>
        <v>8.932484254837228E-2</v>
      </c>
      <c r="N47" s="39">
        <f t="shared" si="8"/>
        <v>7.8701348081840039E-2</v>
      </c>
      <c r="O47" s="39">
        <f t="shared" si="8"/>
        <v>6.906297394953595E-2</v>
      </c>
      <c r="P47" s="39">
        <f t="shared" si="8"/>
        <v>6.0360190248969728E-2</v>
      </c>
      <c r="Q47" s="39">
        <f t="shared" si="8"/>
        <v>5.2539683361459109E-2</v>
      </c>
      <c r="R47" s="39">
        <f t="shared" si="9"/>
        <v>4.5545496669046656E-2</v>
      </c>
      <c r="S47" s="39">
        <f t="shared" si="9"/>
        <v>3.9320090902350245E-2</v>
      </c>
      <c r="T47" s="39">
        <f t="shared" si="9"/>
        <v>3.3805311583472879E-2</v>
      </c>
      <c r="U47" s="39">
        <f t="shared" si="9"/>
        <v>2.89432542979517E-2</v>
      </c>
      <c r="V47" s="39">
        <f t="shared" si="9"/>
        <v>2.4677021784677757E-2</v>
      </c>
      <c r="W47" s="39">
        <f t="shared" si="9"/>
        <v>2.0951369977651159E-2</v>
      </c>
      <c r="X47" s="39">
        <f t="shared" si="9"/>
        <v>1.7713243075674272E-2</v>
      </c>
      <c r="Y47" s="39">
        <f t="shared" si="9"/>
        <v>1.4912200373273832E-2</v>
      </c>
      <c r="Z47" s="39">
        <f t="shared" si="9"/>
        <v>1.2500739892066187E-2</v>
      </c>
      <c r="AA47" s="39">
        <f t="shared" si="9"/>
        <v>1.0434525759932371E-2</v>
      </c>
      <c r="AB47" s="39">
        <f t="shared" si="10"/>
        <v>8.6725277703534592E-3</v>
      </c>
      <c r="AC47" s="39">
        <f t="shared" si="10"/>
        <v>7.1770826113178518E-3</v>
      </c>
      <c r="AD47" s="39">
        <f t="shared" si="10"/>
        <v>5.9138868963075197E-3</v>
      </c>
      <c r="AE47" s="39">
        <f t="shared" si="10"/>
        <v>4.8519323887250936E-3</v>
      </c>
      <c r="AF47" s="39">
        <f t="shared" si="10"/>
        <v>3.9633937276877676E-3</v>
      </c>
      <c r="AG47" s="39">
        <f t="shared" si="10"/>
        <v>3.2234785878061615E-3</v>
      </c>
      <c r="AH47" s="39">
        <f t="shared" si="10"/>
        <v>2.6102495936021868E-3</v>
      </c>
      <c r="AI47" s="39">
        <f t="shared" si="10"/>
        <v>2.1044265172568289E-3</v>
      </c>
      <c r="AJ47" s="39">
        <f t="shared" si="10"/>
        <v>1.689176371631477E-3</v>
      </c>
      <c r="AK47" s="40">
        <f t="shared" si="10"/>
        <v>1.3498980204249898E-3</v>
      </c>
    </row>
    <row r="48" spans="7:37">
      <c r="G48" s="38">
        <f t="shared" si="4"/>
        <v>0.93103448275862122</v>
      </c>
      <c r="H48" s="47">
        <f t="shared" si="8"/>
        <v>0.15857180031030643</v>
      </c>
      <c r="I48" s="39">
        <f t="shared" si="8"/>
        <v>0.1424865058176816</v>
      </c>
      <c r="J48" s="39">
        <f t="shared" si="8"/>
        <v>0.12753737643608176</v>
      </c>
      <c r="K48" s="39">
        <f t="shared" si="8"/>
        <v>0.113711533210267</v>
      </c>
      <c r="L48" s="39">
        <f t="shared" si="8"/>
        <v>0.10098627704057839</v>
      </c>
      <c r="M48" s="39">
        <f t="shared" si="8"/>
        <v>8.9330294086266387E-2</v>
      </c>
      <c r="N48" s="39">
        <f t="shared" si="8"/>
        <v>7.8704893514498817E-2</v>
      </c>
      <c r="O48" s="39">
        <f t="shared" si="8"/>
        <v>6.9065251172368877E-2</v>
      </c>
      <c r="P48" s="39">
        <f t="shared" si="8"/>
        <v>6.036163473490163E-2</v>
      </c>
      <c r="Q48" s="39">
        <f t="shared" si="8"/>
        <v>5.2540588216307318E-2</v>
      </c>
      <c r="R48" s="39">
        <f t="shared" si="9"/>
        <v>4.5546056413093568E-2</v>
      </c>
      <c r="S48" s="39">
        <f t="shared" si="9"/>
        <v>3.9320432828988387E-2</v>
      </c>
      <c r="T48" s="39">
        <f t="shared" si="9"/>
        <v>3.3805517835352357E-2</v>
      </c>
      <c r="U48" s="39">
        <f t="shared" si="9"/>
        <v>2.8943377147544525E-2</v>
      </c>
      <c r="V48" s="39">
        <f t="shared" si="9"/>
        <v>2.4677094036744632E-2</v>
      </c>
      <c r="W48" s="39">
        <f t="shared" si="9"/>
        <v>2.0951411935968983E-2</v>
      </c>
      <c r="X48" s="39">
        <f t="shared" si="9"/>
        <v>1.7713267134150956E-2</v>
      </c>
      <c r="Y48" s="39">
        <f t="shared" si="9"/>
        <v>1.4912213993739872E-2</v>
      </c>
      <c r="Z48" s="39">
        <f t="shared" si="9"/>
        <v>1.2500747505517553E-2</v>
      </c>
      <c r="AA48" s="39">
        <f t="shared" si="9"/>
        <v>1.0434529961674256E-2</v>
      </c>
      <c r="AB48" s="39">
        <f t="shared" si="10"/>
        <v>8.6725300597876292E-3</v>
      </c>
      <c r="AC48" s="39">
        <f t="shared" si="10"/>
        <v>7.1770838429219917E-3</v>
      </c>
      <c r="AD48" s="39">
        <f t="shared" si="10"/>
        <v>5.9138875504191214E-3</v>
      </c>
      <c r="AE48" s="39">
        <f t="shared" si="10"/>
        <v>4.8519327317014388E-3</v>
      </c>
      <c r="AF48" s="39">
        <f t="shared" si="10"/>
        <v>3.9633939052302414E-3</v>
      </c>
      <c r="AG48" s="39">
        <f t="shared" si="10"/>
        <v>3.2234786785381889E-3</v>
      </c>
      <c r="AH48" s="39">
        <f t="shared" si="10"/>
        <v>2.6102496393777767E-3</v>
      </c>
      <c r="AI48" s="39">
        <f t="shared" si="10"/>
        <v>2.1044265400559062E-3</v>
      </c>
      <c r="AJ48" s="39">
        <f t="shared" si="10"/>
        <v>1.6891763828414822E-3</v>
      </c>
      <c r="AK48" s="40">
        <f t="shared" si="10"/>
        <v>1.3498980258661937E-3</v>
      </c>
    </row>
    <row r="49" spans="7:37">
      <c r="G49" s="41">
        <f t="shared" si="4"/>
        <v>1.0000000000000004</v>
      </c>
      <c r="H49" s="48">
        <f t="shared" si="8"/>
        <v>0.15859900949774519</v>
      </c>
      <c r="I49" s="42">
        <f t="shared" si="8"/>
        <v>0.14250514483978122</v>
      </c>
      <c r="J49" s="42">
        <f t="shared" si="8"/>
        <v>0.12754998860135069</v>
      </c>
      <c r="K49" s="42">
        <f t="shared" si="8"/>
        <v>0.11371996259551377</v>
      </c>
      <c r="L49" s="42">
        <f t="shared" si="8"/>
        <v>0.10099184151144851</v>
      </c>
      <c r="M49" s="42">
        <f t="shared" si="8"/>
        <v>8.9333921998125787E-2</v>
      </c>
      <c r="N49" s="42">
        <f t="shared" si="8"/>
        <v>7.8707229546028018E-2</v>
      </c>
      <c r="O49" s="42">
        <f t="shared" si="8"/>
        <v>6.9066736680445689E-2</v>
      </c>
      <c r="P49" s="42">
        <f t="shared" si="8"/>
        <v>6.0362567627871906E-2</v>
      </c>
      <c r="Q49" s="42">
        <f t="shared" si="8"/>
        <v>5.2541166759912557E-2</v>
      </c>
      <c r="R49" s="42">
        <f t="shared" si="9"/>
        <v>4.5546410716739379E-2</v>
      </c>
      <c r="S49" s="42">
        <f t="shared" si="9"/>
        <v>3.9320647087898217E-2</v>
      </c>
      <c r="T49" s="42">
        <f t="shared" si="9"/>
        <v>3.3805645777925171E-2</v>
      </c>
      <c r="U49" s="42">
        <f t="shared" si="9"/>
        <v>2.8943452586208285E-2</v>
      </c>
      <c r="V49" s="42">
        <f t="shared" si="9"/>
        <v>2.4677137957114986E-2</v>
      </c>
      <c r="W49" s="42">
        <f t="shared" si="9"/>
        <v>2.0951437183680557E-2</v>
      </c>
      <c r="X49" s="42">
        <f t="shared" si="9"/>
        <v>1.7713281464391859E-2</v>
      </c>
      <c r="Y49" s="42">
        <f t="shared" si="9"/>
        <v>1.4912222024419487E-2</v>
      </c>
      <c r="Z49" s="42">
        <f t="shared" si="9"/>
        <v>1.2500751948870136E-2</v>
      </c>
      <c r="AA49" s="42">
        <f t="shared" si="9"/>
        <v>1.0434532388964204E-2</v>
      </c>
      <c r="AB49" s="42">
        <f t="shared" si="10"/>
        <v>8.6725313689034224E-3</v>
      </c>
      <c r="AC49" s="42">
        <f t="shared" si="10"/>
        <v>7.177084539987293E-3</v>
      </c>
      <c r="AD49" s="42">
        <f t="shared" si="10"/>
        <v>5.9138879168581081E-3</v>
      </c>
      <c r="AE49" s="42">
        <f t="shared" si="10"/>
        <v>4.8519329218779193E-3</v>
      </c>
      <c r="AF49" s="42">
        <f t="shared" si="10"/>
        <v>3.9633940026693425E-3</v>
      </c>
      <c r="AG49" s="42">
        <f t="shared" si="10"/>
        <v>3.2234787278244371E-3</v>
      </c>
      <c r="AH49" s="42">
        <f t="shared" si="10"/>
        <v>2.6102496639887735E-3</v>
      </c>
      <c r="AI49" s="42">
        <f t="shared" si="10"/>
        <v>2.1044265521880847E-3</v>
      </c>
      <c r="AJ49" s="42">
        <f t="shared" si="10"/>
        <v>1.6891763887455309E-3</v>
      </c>
      <c r="AK49" s="43">
        <f t="shared" si="10"/>
        <v>1.3498980287025336E-3</v>
      </c>
    </row>
  </sheetData>
  <pageMargins left="0.75" right="0.75" top="1" bottom="1" header="0.5" footer="0.5"/>
  <pageSetup paperSize="0" orientation="portrait" horizontalDpi="4294967292" verticalDpi="4294967292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Drop Down 4">
              <controlPr defaultSize="0" autoLine="0" autoPict="0">
                <anchor moveWithCells="1">
                  <from>
                    <xdr:col>1</xdr:col>
                    <xdr:colOff>171450</xdr:colOff>
                    <xdr:row>14</xdr:row>
                    <xdr:rowOff>95250</xdr:rowOff>
                  </from>
                  <to>
                    <xdr:col>1</xdr:col>
                    <xdr:colOff>971550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1</xdr:col>
                    <xdr:colOff>171450</xdr:colOff>
                    <xdr:row>12</xdr:row>
                    <xdr:rowOff>95250</xdr:rowOff>
                  </from>
                  <to>
                    <xdr:col>1</xdr:col>
                    <xdr:colOff>1743075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9"/>
  <sheetViews>
    <sheetView showGridLines="0" tabSelected="1" zoomScaleNormal="100" workbookViewId="0">
      <selection activeCell="G16" sqref="G16"/>
    </sheetView>
  </sheetViews>
  <sheetFormatPr defaultRowHeight="12.75"/>
  <cols>
    <col min="1" max="256" width="11" customWidth="1"/>
  </cols>
  <sheetData>
    <row r="1" spans="1:7" ht="15.75">
      <c r="A1" s="4" t="s">
        <v>26</v>
      </c>
    </row>
    <row r="4" spans="1:7">
      <c r="A4" s="1" t="s">
        <v>11</v>
      </c>
      <c r="B4" s="1" t="s">
        <v>12</v>
      </c>
      <c r="C4" s="1" t="s">
        <v>13</v>
      </c>
      <c r="D4" s="2" t="s">
        <v>14</v>
      </c>
      <c r="E4" s="2" t="s">
        <v>15</v>
      </c>
      <c r="F4" s="2" t="s">
        <v>16</v>
      </c>
      <c r="G4" s="2"/>
    </row>
    <row r="5" spans="1:7">
      <c r="A5" s="24">
        <v>0</v>
      </c>
      <c r="B5" s="25">
        <v>0</v>
      </c>
      <c r="C5" s="25">
        <v>0</v>
      </c>
      <c r="D5" s="25">
        <v>0.5</v>
      </c>
      <c r="E5" s="25">
        <v>0.5</v>
      </c>
      <c r="F5" s="26">
        <v>0.5</v>
      </c>
    </row>
    <row r="8" spans="1:7">
      <c r="A8" s="5" t="s">
        <v>37</v>
      </c>
      <c r="B8" s="23">
        <f>CTND(A5,B5,C5,D5,E5,F5)</f>
        <v>0.25000000000000022</v>
      </c>
    </row>
    <row r="9" spans="1:7">
      <c r="A9" s="9"/>
    </row>
  </sheetData>
  <phoneticPr fontId="3"/>
  <pageMargins left="0.75" right="0.75" top="1" bottom="1" header="0.5" footer="0.5"/>
  <pageSetup paperSize="0"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Index</vt:lpstr>
      <vt:lpstr>1.ND</vt:lpstr>
      <vt:lpstr>2.CND</vt:lpstr>
      <vt:lpstr>3.Bivariate</vt:lpstr>
      <vt:lpstr>4.BivariateC</vt:lpstr>
      <vt:lpstr>5.TrivariateC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2018-10-15T01:23:35Z</dcterms:created>
  <dcterms:modified xsi:type="dcterms:W3CDTF">2018-10-15T01:23:48Z</dcterms:modified>
</cp:coreProperties>
</file>